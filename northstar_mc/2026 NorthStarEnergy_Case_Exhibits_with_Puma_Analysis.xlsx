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https://gtvault-my.sharepoint.com/personal/jsoasti3_gatech_edu/Documents/Microsoft Teams Chat Files/"/>
    </mc:Choice>
  </mc:AlternateContent>
  <xr:revisionPtr revIDLastSave="0" documentId="8_{D55C6A80-0714-4A1C-ACBC-B4835F7AFCB9}" xr6:coauthVersionLast="47" xr6:coauthVersionMax="47" xr10:uidLastSave="{00000000-0000-0000-0000-000000000000}"/>
  <bookViews>
    <workbookView xWindow="0" yWindow="660" windowWidth="29400" windowHeight="18460" tabRatio="500" firstSheet="16" activeTab="16" xr2:uid="{00000000-000D-0000-FFFF-FFFF00000000}"/>
  </bookViews>
  <sheets>
    <sheet name="Exhibit 1" sheetId="1" r:id="rId1"/>
    <sheet name="Exhibit 2" sheetId="2" r:id="rId2"/>
    <sheet name="Exhibit 3" sheetId="3" r:id="rId3"/>
    <sheet name="Exhibit 4" sheetId="4" r:id="rId4"/>
    <sheet name="Exhibit 5" sheetId="5" r:id="rId5"/>
    <sheet name="Exhibit 6" sheetId="6" r:id="rId6"/>
    <sheet name="Exhibit 7" sheetId="7" r:id="rId7"/>
    <sheet name="Exhibit 8" sheetId="8" r:id="rId8"/>
    <sheet name="Exhibit 9" sheetId="9" r:id="rId9"/>
    <sheet name="Exhibit 10" sheetId="10" r:id="rId10"/>
    <sheet name="Exhibit 11" sheetId="11" r:id="rId11"/>
    <sheet name="Exhibit 12" sheetId="12" r:id="rId12"/>
    <sheet name="Leverage Analysis - Template" sheetId="13" r:id="rId13"/>
    <sheet name="Guide" sheetId="14" r:id="rId14"/>
    <sheet name="Summary" sheetId="15" r:id="rId15"/>
    <sheet name="WACC &amp; Inputs" sheetId="16" r:id="rId16"/>
    <sheet name="Bison DCF" sheetId="17" r:id="rId17"/>
    <sheet name="Fennec DCF" sheetId="18" r:id="rId18"/>
    <sheet name="Puma DCF" sheetId="19" r:id="rId19"/>
  </sheets>
  <definedNames>
    <definedName name="___thinkcellBOIQ6AAAAAAABTYAAAADGOFHCSFX27HAY7GCYYT4UDFRU" localSheetId="16" hidden="1">'Bison DCF'!$A$1</definedName>
    <definedName name="Countries">#REF!</definedName>
  </definedNames>
  <calcPr calcId="191028" iterateDelta="1E-4"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61" i="17" l="1"/>
  <c r="N57" i="17"/>
  <c r="N62" i="17"/>
  <c r="N63" i="17"/>
  <c r="N64" i="17"/>
  <c r="N66" i="17"/>
  <c r="D32" i="17"/>
  <c r="E58" i="17"/>
  <c r="E59" i="17"/>
  <c r="E60" i="17"/>
  <c r="E55" i="17"/>
  <c r="D58" i="17"/>
  <c r="D57" i="17"/>
  <c r="D54" i="17"/>
  <c r="H56" i="17"/>
  <c r="E54" i="2" a="1"/>
  <c r="D59" i="17"/>
  <c r="E56" i="17"/>
  <c r="E61" i="18"/>
  <c r="S61" i="19"/>
  <c r="U44" i="18"/>
  <c r="I35" i="19"/>
  <c r="D5" i="17"/>
  <c r="E32" i="17"/>
  <c r="E35" i="17"/>
  <c r="E41" i="17"/>
  <c r="E27" i="17"/>
  <c r="E26" i="17"/>
  <c r="E47" i="16"/>
  <c r="C42" i="16"/>
  <c r="E46" i="16"/>
  <c r="G46" i="16"/>
  <c r="G47" i="16"/>
  <c r="F47" i="16"/>
  <c r="D47" i="16"/>
  <c r="C36" i="16"/>
  <c r="C33" i="16"/>
  <c r="E33" i="17"/>
  <c r="E25" i="17"/>
  <c r="E24" i="17"/>
  <c r="I24" i="8"/>
  <c r="D23" i="17"/>
  <c r="E18" i="17"/>
  <c r="D26" i="17"/>
  <c r="C41" i="16"/>
  <c r="C39" i="16"/>
  <c r="G27" i="16"/>
  <c r="D58" i="18"/>
  <c r="D61" i="18"/>
  <c r="G34" i="18"/>
  <c r="C48" i="16"/>
  <c r="W5" i="6"/>
  <c r="D59" i="19"/>
  <c r="D58" i="19"/>
  <c r="D57" i="19"/>
  <c r="D54" i="19"/>
  <c r="AG24" i="19"/>
  <c r="AF24" i="19"/>
  <c r="AE24" i="19"/>
  <c r="AD24" i="19"/>
  <c r="AC24" i="19"/>
  <c r="AB24" i="19"/>
  <c r="AA24" i="19"/>
  <c r="Z24" i="19"/>
  <c r="Y24" i="19"/>
  <c r="X24" i="19"/>
  <c r="W24" i="19"/>
  <c r="V24" i="19"/>
  <c r="U24" i="19"/>
  <c r="T24" i="19"/>
  <c r="S24" i="19"/>
  <c r="R24" i="19"/>
  <c r="Q24" i="19"/>
  <c r="P24" i="19"/>
  <c r="O24" i="19"/>
  <c r="N24" i="19"/>
  <c r="M24" i="19"/>
  <c r="L24" i="19"/>
  <c r="K24" i="19"/>
  <c r="J24" i="19"/>
  <c r="I24" i="19"/>
  <c r="H24" i="19"/>
  <c r="G24" i="19"/>
  <c r="F24" i="19"/>
  <c r="E24" i="19"/>
  <c r="D24" i="19"/>
  <c r="AG23" i="19"/>
  <c r="AG25" i="19" s="1"/>
  <c r="AF23" i="19"/>
  <c r="AF25" i="19" s="1"/>
  <c r="AE23" i="19"/>
  <c r="AE25" i="19" s="1"/>
  <c r="AD23" i="19"/>
  <c r="AD25" i="19" s="1"/>
  <c r="AC23" i="19"/>
  <c r="AC25" i="19" s="1"/>
  <c r="AB23" i="19"/>
  <c r="AB25" i="19" s="1"/>
  <c r="AA23" i="19"/>
  <c r="AA25" i="19" s="1"/>
  <c r="Z23" i="19"/>
  <c r="Z25" i="19" s="1"/>
  <c r="Y23" i="19"/>
  <c r="Y25" i="19" s="1"/>
  <c r="X23" i="19"/>
  <c r="X25" i="19" s="1"/>
  <c r="W23" i="19"/>
  <c r="W25" i="19" s="1"/>
  <c r="V23" i="19"/>
  <c r="V25" i="19" s="1"/>
  <c r="U23" i="19"/>
  <c r="U25" i="19" s="1"/>
  <c r="T23" i="19"/>
  <c r="T25" i="19" s="1"/>
  <c r="S23" i="19"/>
  <c r="S25" i="19" s="1"/>
  <c r="R23" i="19"/>
  <c r="R25" i="19" s="1"/>
  <c r="Q23" i="19"/>
  <c r="Q25" i="19" s="1"/>
  <c r="P23" i="19"/>
  <c r="P25" i="19" s="1"/>
  <c r="O23" i="19"/>
  <c r="O25" i="19" s="1"/>
  <c r="N23" i="19"/>
  <c r="N25" i="19" s="1"/>
  <c r="M23" i="19"/>
  <c r="M25" i="19" s="1"/>
  <c r="L23" i="19"/>
  <c r="L25" i="19" s="1"/>
  <c r="K23" i="19"/>
  <c r="K25" i="19" s="1"/>
  <c r="J23" i="19"/>
  <c r="J25" i="19" s="1"/>
  <c r="I23" i="19"/>
  <c r="I25" i="19" s="1"/>
  <c r="F23" i="14" s="1"/>
  <c r="H23" i="19"/>
  <c r="H25" i="19" s="1"/>
  <c r="G23" i="19"/>
  <c r="G25" i="19" s="1"/>
  <c r="F23" i="19"/>
  <c r="F25" i="19" s="1"/>
  <c r="E23" i="19"/>
  <c r="E25" i="19" s="1"/>
  <c r="D23" i="19"/>
  <c r="D25" i="19" s="1"/>
  <c r="AG22" i="19"/>
  <c r="AF22" i="19"/>
  <c r="AE22" i="19"/>
  <c r="AD22" i="19"/>
  <c r="AC22" i="19"/>
  <c r="AB22" i="19"/>
  <c r="AA22" i="19"/>
  <c r="Z22" i="19"/>
  <c r="Y22" i="19"/>
  <c r="X22" i="19"/>
  <c r="W22" i="19"/>
  <c r="V22" i="19"/>
  <c r="U22" i="19"/>
  <c r="T22" i="19"/>
  <c r="S22" i="19"/>
  <c r="R22" i="19"/>
  <c r="Q22" i="19"/>
  <c r="P22" i="19"/>
  <c r="O22" i="19"/>
  <c r="N22" i="19"/>
  <c r="M22" i="19"/>
  <c r="L22" i="19"/>
  <c r="K22" i="19"/>
  <c r="J22" i="19"/>
  <c r="I22" i="19"/>
  <c r="H22" i="19"/>
  <c r="G22" i="19"/>
  <c r="F22" i="19"/>
  <c r="E22" i="19"/>
  <c r="D22" i="19"/>
  <c r="AG21" i="19"/>
  <c r="AF21" i="19"/>
  <c r="AE21" i="19"/>
  <c r="AD21" i="19"/>
  <c r="AC21" i="19"/>
  <c r="AB21" i="19"/>
  <c r="AA21" i="19"/>
  <c r="Z21" i="19"/>
  <c r="Y21" i="19"/>
  <c r="X21" i="19"/>
  <c r="W21" i="19"/>
  <c r="V21" i="19"/>
  <c r="U21" i="19"/>
  <c r="T21" i="19"/>
  <c r="S21" i="19"/>
  <c r="R21" i="19"/>
  <c r="Q21" i="19"/>
  <c r="P21" i="19"/>
  <c r="O21" i="19"/>
  <c r="N21" i="19"/>
  <c r="M21" i="19"/>
  <c r="L21" i="19"/>
  <c r="K21" i="19"/>
  <c r="J21" i="19"/>
  <c r="I21" i="19"/>
  <c r="H21" i="19"/>
  <c r="G21" i="19"/>
  <c r="F21" i="19"/>
  <c r="E21" i="19"/>
  <c r="D21" i="19"/>
  <c r="AG20" i="19"/>
  <c r="AF20" i="19"/>
  <c r="AE20" i="19"/>
  <c r="AD20" i="19"/>
  <c r="AC20" i="19"/>
  <c r="AB20" i="19"/>
  <c r="AA20" i="19"/>
  <c r="Z20" i="19"/>
  <c r="Y20" i="19"/>
  <c r="X20" i="19"/>
  <c r="W20" i="19"/>
  <c r="V20" i="19"/>
  <c r="U20" i="19"/>
  <c r="T20" i="19"/>
  <c r="S20" i="19"/>
  <c r="R20" i="19"/>
  <c r="Q20" i="19"/>
  <c r="P20" i="19"/>
  <c r="O20" i="19"/>
  <c r="N20" i="19"/>
  <c r="M20" i="19"/>
  <c r="L20" i="19"/>
  <c r="K20" i="19"/>
  <c r="J20" i="19"/>
  <c r="I20" i="19"/>
  <c r="H20" i="19"/>
  <c r="G20" i="19"/>
  <c r="F20" i="19"/>
  <c r="E20" i="19"/>
  <c r="D20" i="19"/>
  <c r="AG19" i="19"/>
  <c r="AF19" i="19"/>
  <c r="AE19" i="19"/>
  <c r="AD19" i="19"/>
  <c r="AC19" i="19"/>
  <c r="AB19" i="19"/>
  <c r="AA19" i="19"/>
  <c r="Z19" i="19"/>
  <c r="Y19" i="19"/>
  <c r="X19" i="19"/>
  <c r="W19" i="19"/>
  <c r="V19" i="19"/>
  <c r="U19" i="19"/>
  <c r="T19" i="19"/>
  <c r="S19" i="19"/>
  <c r="R19" i="19"/>
  <c r="Q19" i="19"/>
  <c r="P19" i="19"/>
  <c r="O19" i="19"/>
  <c r="N19" i="19"/>
  <c r="M19" i="19"/>
  <c r="L19" i="19"/>
  <c r="K19" i="19"/>
  <c r="J19" i="19"/>
  <c r="I19" i="19"/>
  <c r="H19" i="19"/>
  <c r="G19" i="19"/>
  <c r="F19" i="19"/>
  <c r="E19" i="19"/>
  <c r="D19" i="19"/>
  <c r="AG17" i="19"/>
  <c r="AF17" i="19"/>
  <c r="AE17" i="19"/>
  <c r="AD17" i="19"/>
  <c r="AC17" i="19"/>
  <c r="AB17" i="19"/>
  <c r="AA17" i="19"/>
  <c r="Z17" i="19"/>
  <c r="Y17" i="19"/>
  <c r="X17" i="19"/>
  <c r="W17" i="19"/>
  <c r="V17" i="19"/>
  <c r="U17" i="19"/>
  <c r="T17" i="19"/>
  <c r="S17" i="19"/>
  <c r="R17" i="19"/>
  <c r="Q17" i="19"/>
  <c r="P17" i="19"/>
  <c r="O17" i="19"/>
  <c r="N17" i="19"/>
  <c r="M17" i="19"/>
  <c r="L17" i="19"/>
  <c r="K17" i="19"/>
  <c r="J17" i="19"/>
  <c r="I17" i="19"/>
  <c r="H17" i="19"/>
  <c r="G17" i="19"/>
  <c r="F17" i="19"/>
  <c r="E17" i="19"/>
  <c r="D17" i="19"/>
  <c r="E16" i="19"/>
  <c r="D12" i="19"/>
  <c r="D11" i="19"/>
  <c r="D10" i="19"/>
  <c r="D9" i="19"/>
  <c r="D8" i="19"/>
  <c r="D7" i="19"/>
  <c r="D6" i="19"/>
  <c r="D5" i="19"/>
  <c r="D4" i="19"/>
  <c r="D59" i="18"/>
  <c r="D57" i="18"/>
  <c r="D54" i="18"/>
  <c r="U24" i="18"/>
  <c r="T24" i="18"/>
  <c r="S24" i="18"/>
  <c r="R24" i="18"/>
  <c r="Q24" i="18"/>
  <c r="P24" i="18"/>
  <c r="O24" i="18"/>
  <c r="N24" i="18"/>
  <c r="M24" i="18"/>
  <c r="L24" i="18"/>
  <c r="K24" i="18"/>
  <c r="J24" i="18"/>
  <c r="I24" i="18"/>
  <c r="H24" i="18"/>
  <c r="G24" i="18"/>
  <c r="F24" i="18"/>
  <c r="E24" i="18"/>
  <c r="D24" i="18"/>
  <c r="U23" i="18"/>
  <c r="U25" i="18" s="1"/>
  <c r="T23" i="18"/>
  <c r="T25" i="18" s="1"/>
  <c r="S23" i="18"/>
  <c r="S25" i="18" s="1"/>
  <c r="R23" i="18"/>
  <c r="R25" i="18" s="1"/>
  <c r="Q23" i="18"/>
  <c r="Q25" i="18" s="1"/>
  <c r="P23" i="18"/>
  <c r="P25" i="18" s="1"/>
  <c r="O23" i="18"/>
  <c r="O25" i="18" s="1"/>
  <c r="N23" i="18"/>
  <c r="N25" i="18" s="1"/>
  <c r="M23" i="18"/>
  <c r="M25" i="18" s="1"/>
  <c r="L23" i="18"/>
  <c r="L25" i="18" s="1"/>
  <c r="K23" i="18"/>
  <c r="K25" i="18" s="1"/>
  <c r="J23" i="18"/>
  <c r="J25" i="18" s="1"/>
  <c r="I23" i="18"/>
  <c r="I25" i="18" s="1"/>
  <c r="H23" i="18"/>
  <c r="H25" i="18" s="1"/>
  <c r="G23" i="18"/>
  <c r="G25" i="18" s="1"/>
  <c r="F23" i="18"/>
  <c r="F25" i="18" s="1"/>
  <c r="E23" i="18"/>
  <c r="E25" i="18" s="1"/>
  <c r="D23" i="18"/>
  <c r="D25" i="18" s="1"/>
  <c r="U22" i="18"/>
  <c r="T22" i="18"/>
  <c r="S22" i="18"/>
  <c r="R22" i="18"/>
  <c r="Q22" i="18"/>
  <c r="P22" i="18"/>
  <c r="O22" i="18"/>
  <c r="N22" i="18"/>
  <c r="M22" i="18"/>
  <c r="L22" i="18"/>
  <c r="K22" i="18"/>
  <c r="J22" i="18"/>
  <c r="I22" i="18"/>
  <c r="H22" i="18"/>
  <c r="G22" i="18"/>
  <c r="F22" i="18"/>
  <c r="E22" i="18"/>
  <c r="D22" i="18"/>
  <c r="U21" i="18"/>
  <c r="T21" i="18"/>
  <c r="S21" i="18"/>
  <c r="R21" i="18"/>
  <c r="Q21" i="18"/>
  <c r="P21" i="18"/>
  <c r="O21" i="18"/>
  <c r="N21" i="18"/>
  <c r="M21" i="18"/>
  <c r="L21" i="18"/>
  <c r="K21" i="18"/>
  <c r="J21" i="18"/>
  <c r="I21" i="18"/>
  <c r="H21" i="18"/>
  <c r="G21" i="18"/>
  <c r="F21" i="18"/>
  <c r="E21" i="18"/>
  <c r="D21" i="18"/>
  <c r="U20" i="18"/>
  <c r="T20" i="18"/>
  <c r="S20" i="18"/>
  <c r="R20" i="18"/>
  <c r="Q20" i="18"/>
  <c r="P20" i="18"/>
  <c r="O20" i="18"/>
  <c r="N20" i="18"/>
  <c r="M20" i="18"/>
  <c r="L20" i="18"/>
  <c r="K20" i="18"/>
  <c r="J20" i="18"/>
  <c r="I20" i="18"/>
  <c r="H20" i="18"/>
  <c r="G20" i="18"/>
  <c r="F20" i="18"/>
  <c r="E20" i="18"/>
  <c r="D20" i="18"/>
  <c r="U19" i="18"/>
  <c r="T19" i="18"/>
  <c r="S19" i="18"/>
  <c r="R19" i="18"/>
  <c r="Q19" i="18"/>
  <c r="P19" i="18"/>
  <c r="O19" i="18"/>
  <c r="N19" i="18"/>
  <c r="M19" i="18"/>
  <c r="L19" i="18"/>
  <c r="K19" i="18"/>
  <c r="J19" i="18"/>
  <c r="I19" i="18"/>
  <c r="H19" i="18"/>
  <c r="G19" i="18"/>
  <c r="F19" i="18"/>
  <c r="E19" i="18"/>
  <c r="D19" i="18"/>
  <c r="U17" i="18"/>
  <c r="T17" i="18"/>
  <c r="S17" i="18"/>
  <c r="R17" i="18"/>
  <c r="Q17" i="18"/>
  <c r="P17" i="18"/>
  <c r="O17" i="18"/>
  <c r="N17" i="18"/>
  <c r="M17" i="18"/>
  <c r="L17" i="18"/>
  <c r="K17" i="18"/>
  <c r="J17" i="18"/>
  <c r="I17" i="18"/>
  <c r="H17" i="18"/>
  <c r="G17" i="18"/>
  <c r="F17" i="18"/>
  <c r="E17" i="18"/>
  <c r="D17" i="18"/>
  <c r="E16" i="18"/>
  <c r="D12" i="18"/>
  <c r="D11" i="18"/>
  <c r="D10" i="18"/>
  <c r="D9" i="18"/>
  <c r="D8" i="18"/>
  <c r="D7" i="18"/>
  <c r="D6" i="18"/>
  <c r="D5" i="18"/>
  <c r="D4" i="18"/>
  <c r="N24" i="17"/>
  <c r="M24" i="17"/>
  <c r="L24" i="17"/>
  <c r="K24" i="17"/>
  <c r="J24" i="17"/>
  <c r="I24" i="17"/>
  <c r="H24" i="17"/>
  <c r="G24" i="17"/>
  <c r="F24" i="17"/>
  <c r="D24" i="17"/>
  <c r="N23" i="17"/>
  <c r="N25" i="17" s="1"/>
  <c r="M23" i="17"/>
  <c r="M25" i="17" s="1"/>
  <c r="L23" i="17"/>
  <c r="L25" i="17" s="1"/>
  <c r="K23" i="17"/>
  <c r="K25" i="17" s="1"/>
  <c r="J23" i="17"/>
  <c r="J25" i="17" s="1"/>
  <c r="I23" i="17"/>
  <c r="I25" i="17" s="1"/>
  <c r="H23" i="17"/>
  <c r="H25" i="17" s="1"/>
  <c r="G23" i="17"/>
  <c r="G25" i="17" s="1"/>
  <c r="F23" i="17"/>
  <c r="F25" i="17" s="1"/>
  <c r="E23" i="17"/>
  <c r="D25" i="17"/>
  <c r="N22" i="17"/>
  <c r="M22" i="17"/>
  <c r="L22" i="17"/>
  <c r="K22" i="17"/>
  <c r="J22" i="17"/>
  <c r="I22" i="17"/>
  <c r="H22" i="17"/>
  <c r="G22" i="17"/>
  <c r="F22" i="17"/>
  <c r="E22" i="17"/>
  <c r="D22" i="17"/>
  <c r="N21" i="17"/>
  <c r="M21" i="17"/>
  <c r="L21" i="17"/>
  <c r="K21" i="17"/>
  <c r="J21" i="17"/>
  <c r="I21" i="17"/>
  <c r="H21" i="17"/>
  <c r="G21" i="17"/>
  <c r="F21" i="17"/>
  <c r="E21" i="17"/>
  <c r="D21" i="17"/>
  <c r="N20" i="17"/>
  <c r="M20" i="17"/>
  <c r="L20" i="17"/>
  <c r="K20" i="17"/>
  <c r="J20" i="17"/>
  <c r="I20" i="17"/>
  <c r="H20" i="17"/>
  <c r="G20" i="17"/>
  <c r="F20" i="17"/>
  <c r="E20" i="17"/>
  <c r="D20" i="17"/>
  <c r="N19" i="17"/>
  <c r="M19" i="17"/>
  <c r="L19" i="17"/>
  <c r="K19" i="17"/>
  <c r="J19" i="17"/>
  <c r="I19" i="17"/>
  <c r="H19" i="17"/>
  <c r="G19" i="17"/>
  <c r="F19" i="17"/>
  <c r="E19" i="17"/>
  <c r="D19" i="17"/>
  <c r="N17" i="17"/>
  <c r="M17" i="17"/>
  <c r="L17" i="17"/>
  <c r="K17" i="17"/>
  <c r="J17" i="17"/>
  <c r="I17" i="17"/>
  <c r="H17" i="17"/>
  <c r="G17" i="17"/>
  <c r="F17" i="17"/>
  <c r="E17" i="17"/>
  <c r="D17" i="17"/>
  <c r="E16" i="17"/>
  <c r="D12" i="17"/>
  <c r="D11" i="17"/>
  <c r="D10" i="17"/>
  <c r="D9" i="17"/>
  <c r="D8" i="17"/>
  <c r="D7" i="17"/>
  <c r="D6" i="17"/>
  <c r="D4" i="17"/>
  <c r="C47" i="16"/>
  <c r="C46" i="16"/>
  <c r="C40" i="16"/>
  <c r="C38" i="16"/>
  <c r="C37" i="16"/>
  <c r="C32" i="16"/>
  <c r="C31" i="16"/>
  <c r="E25" i="16"/>
  <c r="D25" i="16"/>
  <c r="F25" i="16" s="1"/>
  <c r="C25" i="16"/>
  <c r="G25" i="16" s="1"/>
  <c r="B25" i="16"/>
  <c r="E24" i="16"/>
  <c r="D24" i="16"/>
  <c r="F24" i="16" s="1"/>
  <c r="C24" i="16"/>
  <c r="G24" i="16" s="1"/>
  <c r="B24" i="16"/>
  <c r="E23" i="16"/>
  <c r="D23" i="16"/>
  <c r="F23" i="16" s="1"/>
  <c r="C23" i="16"/>
  <c r="G23" i="16" s="1"/>
  <c r="B23" i="16"/>
  <c r="E22" i="16"/>
  <c r="D22" i="16"/>
  <c r="F22" i="16" s="1"/>
  <c r="C22" i="16"/>
  <c r="G22" i="16" s="1"/>
  <c r="B22" i="16"/>
  <c r="E21" i="16"/>
  <c r="D21" i="16"/>
  <c r="F21" i="16" s="1"/>
  <c r="C21" i="16"/>
  <c r="G21" i="16" s="1"/>
  <c r="B21" i="16"/>
  <c r="E20" i="16"/>
  <c r="D20" i="16"/>
  <c r="F20" i="16" s="1"/>
  <c r="C20" i="16"/>
  <c r="G20" i="16" s="1"/>
  <c r="B20" i="16"/>
  <c r="E19" i="16"/>
  <c r="D19" i="16"/>
  <c r="F19" i="16" s="1"/>
  <c r="C19" i="16"/>
  <c r="G19" i="16" s="1"/>
  <c r="B19" i="16"/>
  <c r="E18" i="16"/>
  <c r="D18" i="16"/>
  <c r="F18" i="16" s="1"/>
  <c r="C18" i="16"/>
  <c r="G18" i="16" s="1"/>
  <c r="B18" i="16"/>
  <c r="E17" i="16"/>
  <c r="D17" i="16"/>
  <c r="F17" i="16" s="1"/>
  <c r="C17" i="16"/>
  <c r="G17" i="16" s="1"/>
  <c r="B17" i="16"/>
  <c r="E16" i="16"/>
  <c r="D16" i="16"/>
  <c r="F16" i="16" s="1"/>
  <c r="C16" i="16"/>
  <c r="G16" i="16" s="1"/>
  <c r="B16" i="16"/>
  <c r="E15" i="16"/>
  <c r="D15" i="16"/>
  <c r="F15" i="16" s="1"/>
  <c r="C15" i="16"/>
  <c r="G15" i="16" s="1"/>
  <c r="B15" i="16"/>
  <c r="C11" i="16"/>
  <c r="C9" i="16"/>
  <c r="M51" i="15"/>
  <c r="L51" i="15"/>
  <c r="K51" i="15"/>
  <c r="J51" i="15"/>
  <c r="I51" i="15"/>
  <c r="H51" i="15"/>
  <c r="G51" i="15"/>
  <c r="F51" i="15"/>
  <c r="E51" i="15"/>
  <c r="D51" i="15"/>
  <c r="C51" i="15"/>
  <c r="D47" i="15"/>
  <c r="C47" i="15"/>
  <c r="E7" i="15"/>
  <c r="B43" i="15" s="1"/>
  <c r="D7" i="15"/>
  <c r="C7" i="15"/>
  <c r="E6" i="15"/>
  <c r="D6" i="15"/>
  <c r="C6" i="15"/>
  <c r="E5" i="15"/>
  <c r="B39" i="15" s="1"/>
  <c r="D5" i="15"/>
  <c r="C5" i="15"/>
  <c r="G4" i="9"/>
  <c r="H4" i="9" s="1"/>
  <c r="I4" i="9" s="1"/>
  <c r="J4" i="9" s="1"/>
  <c r="K4" i="9" s="1"/>
  <c r="L4" i="9" s="1"/>
  <c r="M4" i="9" s="1"/>
  <c r="N4" i="9" s="1"/>
  <c r="O4" i="9" s="1"/>
  <c r="P4" i="9" s="1"/>
  <c r="Q4" i="9" s="1"/>
  <c r="R4" i="9" s="1"/>
  <c r="S4" i="9" s="1"/>
  <c r="T4" i="9" s="1"/>
  <c r="U4" i="9" s="1"/>
  <c r="V4" i="9" s="1"/>
  <c r="W4" i="9" s="1"/>
  <c r="X4" i="9" s="1"/>
  <c r="Y4" i="9" s="1"/>
  <c r="Z4" i="9" s="1"/>
  <c r="AA4" i="9" s="1"/>
  <c r="AB4" i="9" s="1"/>
  <c r="AC4" i="9" s="1"/>
  <c r="AD4" i="9" s="1"/>
  <c r="AE4" i="9" s="1"/>
  <c r="AF4" i="9" s="1"/>
  <c r="AG4" i="9" s="1"/>
  <c r="AH4" i="9" s="1"/>
  <c r="AI4" i="9" s="1"/>
  <c r="AJ4" i="9" s="1"/>
  <c r="AK4" i="9" s="1"/>
  <c r="AL4" i="9" s="1"/>
  <c r="AM4" i="9" s="1"/>
  <c r="AN4" i="9" s="1"/>
  <c r="Y4" i="8"/>
  <c r="Z4" i="8" s="1"/>
  <c r="AA4" i="8" s="1"/>
  <c r="AB4" i="8" s="1"/>
  <c r="AC4" i="8" s="1"/>
  <c r="AD4" i="8" s="1"/>
  <c r="AE4" i="8" s="1"/>
  <c r="AF4" i="8" s="1"/>
  <c r="AG4" i="8" s="1"/>
  <c r="AH4" i="8" s="1"/>
  <c r="AI4" i="8" s="1"/>
  <c r="AJ4" i="8" s="1"/>
  <c r="AK4" i="8" s="1"/>
  <c r="AL4" i="8" s="1"/>
  <c r="AM4" i="8" s="1"/>
  <c r="E4" i="7"/>
  <c r="F4" i="7" s="1"/>
  <c r="G4" i="7" s="1"/>
  <c r="H4" i="7" s="1"/>
  <c r="I4" i="7" s="1"/>
  <c r="J4" i="7" s="1"/>
  <c r="K4" i="7" s="1"/>
  <c r="L4" i="7" s="1"/>
  <c r="M4" i="7" s="1"/>
  <c r="N4" i="7" s="1"/>
  <c r="O4" i="7" s="1"/>
  <c r="P4" i="7" s="1"/>
  <c r="Q4" i="7" s="1"/>
  <c r="R4" i="7" s="1"/>
  <c r="S4" i="7" s="1"/>
  <c r="T4" i="7" s="1"/>
  <c r="U4" i="7" s="1"/>
  <c r="V4" i="7" s="1"/>
  <c r="W4" i="7" s="1"/>
  <c r="X4" i="7" s="1"/>
  <c r="Y4" i="7" s="1"/>
  <c r="Z4" i="7" s="1"/>
  <c r="AA4" i="7" s="1"/>
  <c r="AB4" i="7" s="1"/>
  <c r="AC4" i="7" s="1"/>
  <c r="AD4" i="7" s="1"/>
  <c r="AE4" i="7" s="1"/>
  <c r="AF4" i="7" s="1"/>
  <c r="AG4" i="7" s="1"/>
  <c r="E37" i="1"/>
  <c r="E26" i="1"/>
  <c r="E15" i="1"/>
  <c r="C65" i="14"/>
  <c r="C64" i="14"/>
  <c r="C63" i="14"/>
  <c r="C60" i="14"/>
  <c r="D59" i="14"/>
  <c r="C59" i="14"/>
  <c r="C49" i="14"/>
  <c r="C47" i="14"/>
  <c r="C48" i="14" s="1"/>
  <c r="C50" i="14" s="1"/>
  <c r="D46" i="14"/>
  <c r="C46" i="14"/>
  <c r="F34" i="14"/>
  <c r="F33" i="14"/>
  <c r="F32" i="14"/>
  <c r="F31" i="14"/>
  <c r="F29" i="14"/>
  <c r="F28" i="14"/>
  <c r="F27" i="14"/>
  <c r="F26" i="14"/>
  <c r="F25" i="14"/>
  <c r="F24" i="14"/>
  <c r="F22" i="14"/>
  <c r="F21" i="14"/>
  <c r="F20" i="14"/>
  <c r="D20" i="14"/>
  <c r="C20" i="14"/>
  <c r="C7" i="14"/>
  <c r="C6" i="14"/>
  <c r="E5" i="14"/>
  <c r="D5" i="14"/>
  <c r="C5" i="14"/>
  <c r="AG18" i="19" l="1"/>
  <c r="AG35" i="19"/>
  <c r="AF35" i="19"/>
  <c r="AF18" i="19"/>
  <c r="AE35" i="19"/>
  <c r="AE18" i="19"/>
  <c r="AD18" i="19"/>
  <c r="AD35" i="19"/>
  <c r="AC18" i="19"/>
  <c r="AC35" i="19"/>
  <c r="AB35" i="19"/>
  <c r="AB18" i="19"/>
  <c r="AA35" i="19"/>
  <c r="AA18" i="19"/>
  <c r="Z35" i="19"/>
  <c r="Z18" i="19"/>
  <c r="Y35" i="19"/>
  <c r="Y18" i="19"/>
  <c r="X35" i="19"/>
  <c r="X18" i="19"/>
  <c r="W35" i="19"/>
  <c r="W18" i="19"/>
  <c r="V35" i="19"/>
  <c r="V18" i="19"/>
  <c r="U35" i="19"/>
  <c r="U18" i="19"/>
  <c r="T35" i="19"/>
  <c r="T18" i="19"/>
  <c r="S35" i="19"/>
  <c r="S18" i="19"/>
  <c r="R35" i="19"/>
  <c r="R18" i="19"/>
  <c r="Q18" i="19"/>
  <c r="Q35" i="19"/>
  <c r="P18" i="19"/>
  <c r="P35" i="19"/>
  <c r="O18" i="19"/>
  <c r="O35" i="19"/>
  <c r="N18" i="19"/>
  <c r="N35" i="19"/>
  <c r="M18" i="19"/>
  <c r="M35" i="19"/>
  <c r="L18" i="19"/>
  <c r="L35" i="19"/>
  <c r="K18" i="19"/>
  <c r="K35" i="19"/>
  <c r="J18" i="19"/>
  <c r="J35" i="19"/>
  <c r="I18" i="19"/>
  <c r="D29" i="14"/>
  <c r="H35" i="19"/>
  <c r="H18" i="19"/>
  <c r="G18" i="19"/>
  <c r="G35" i="19"/>
  <c r="F18" i="19"/>
  <c r="F35" i="19"/>
  <c r="E18" i="19"/>
  <c r="E35" i="19"/>
  <c r="D35" i="19"/>
  <c r="C29" i="14" s="1"/>
  <c r="D18" i="19"/>
  <c r="F16" i="19"/>
  <c r="E38" i="19"/>
  <c r="E59" i="19"/>
  <c r="D65" i="14" s="1"/>
  <c r="E58" i="19"/>
  <c r="E54" i="19"/>
  <c r="E39" i="19"/>
  <c r="D38" i="19"/>
  <c r="D39" i="19"/>
  <c r="U35" i="18"/>
  <c r="U18" i="18"/>
  <c r="T18" i="18"/>
  <c r="T35" i="18"/>
  <c r="S18" i="18"/>
  <c r="S35" i="18"/>
  <c r="R18" i="18"/>
  <c r="R35" i="18"/>
  <c r="Q18" i="18"/>
  <c r="Q35" i="18"/>
  <c r="P18" i="18"/>
  <c r="P35" i="18"/>
  <c r="O35" i="18"/>
  <c r="O18" i="18"/>
  <c r="N18" i="18"/>
  <c r="N35" i="18"/>
  <c r="M35" i="18"/>
  <c r="M18" i="18"/>
  <c r="L35" i="18"/>
  <c r="L18" i="18"/>
  <c r="K18" i="18"/>
  <c r="K35" i="18"/>
  <c r="J18" i="18"/>
  <c r="J35" i="18"/>
  <c r="I18" i="18"/>
  <c r="I35" i="18"/>
  <c r="H18" i="18"/>
  <c r="H35" i="18"/>
  <c r="G18" i="18"/>
  <c r="G35" i="18"/>
  <c r="F18" i="18"/>
  <c r="F35" i="18"/>
  <c r="E18" i="18"/>
  <c r="E35" i="18"/>
  <c r="D18" i="18"/>
  <c r="D35" i="18"/>
  <c r="E58" i="18"/>
  <c r="E39" i="18"/>
  <c r="E38" i="18"/>
  <c r="E54" i="18"/>
  <c r="F16" i="18"/>
  <c r="E59" i="18"/>
  <c r="D39" i="18"/>
  <c r="D38" i="18"/>
  <c r="N35" i="17"/>
  <c r="N18" i="17"/>
  <c r="M35" i="17"/>
  <c r="M18" i="17"/>
  <c r="L18" i="17"/>
  <c r="L35" i="17"/>
  <c r="K18" i="17"/>
  <c r="K35" i="17"/>
  <c r="J18" i="17"/>
  <c r="J35" i="17"/>
  <c r="I18" i="17"/>
  <c r="I35" i="17"/>
  <c r="H35" i="17"/>
  <c r="H18" i="17"/>
  <c r="G35" i="17"/>
  <c r="G18" i="17"/>
  <c r="F35" i="17"/>
  <c r="F18" i="17"/>
  <c r="D35" i="17"/>
  <c r="D18" i="17"/>
  <c r="F16" i="17"/>
  <c r="E54" i="17"/>
  <c r="E39" i="17"/>
  <c r="E38" i="17"/>
  <c r="D39" i="17"/>
  <c r="D38" i="17"/>
  <c r="C34" i="16"/>
  <c r="C35" i="16" s="1"/>
  <c r="D13" i="19"/>
  <c r="D13" i="17"/>
  <c r="D13" i="18"/>
  <c r="Q63" i="18"/>
  <c r="R63" i="18"/>
  <c r="S63" i="18"/>
  <c r="T63" i="18"/>
  <c r="U63" i="18"/>
  <c r="D63" i="19"/>
  <c r="E63" i="19"/>
  <c r="F63" i="19"/>
  <c r="G63" i="19"/>
  <c r="H63" i="19"/>
  <c r="I63" i="19"/>
  <c r="K63" i="19"/>
  <c r="L63" i="19"/>
  <c r="M63" i="19"/>
  <c r="N63" i="19"/>
  <c r="O63" i="19"/>
  <c r="P63" i="19"/>
  <c r="Q63" i="19"/>
  <c r="R63" i="19"/>
  <c r="S63" i="19"/>
  <c r="T63" i="19"/>
  <c r="U63" i="19"/>
  <c r="V63" i="19"/>
  <c r="J63" i="18"/>
  <c r="X63" i="19"/>
  <c r="Y63" i="19"/>
  <c r="Z63" i="19"/>
  <c r="AA63" i="19"/>
  <c r="AB63" i="19"/>
  <c r="AC63" i="19"/>
  <c r="AD63" i="19"/>
  <c r="AE63" i="19"/>
  <c r="L63" i="17"/>
  <c r="AF63" i="19"/>
  <c r="P63" i="18"/>
  <c r="N63" i="18"/>
  <c r="M63" i="18"/>
  <c r="K63" i="17"/>
  <c r="L63" i="18"/>
  <c r="M63" i="17"/>
  <c r="J63" i="17"/>
  <c r="AG63" i="19"/>
  <c r="I63" i="17"/>
  <c r="H63" i="17"/>
  <c r="G63" i="17"/>
  <c r="F63" i="17"/>
  <c r="E63" i="17"/>
  <c r="D63" i="17"/>
  <c r="K63" i="18"/>
  <c r="I63" i="18"/>
  <c r="H63" i="18"/>
  <c r="G63" i="18"/>
  <c r="F63" i="18"/>
  <c r="O63" i="18"/>
  <c r="W63" i="19"/>
  <c r="E63" i="18"/>
  <c r="J63" i="19"/>
  <c r="D63" i="18"/>
  <c r="AG26" i="19" l="1"/>
  <c r="AG27" i="19"/>
  <c r="AG28" i="19"/>
  <c r="AG31" i="19"/>
  <c r="AG32" i="19"/>
  <c r="AG33" i="19"/>
  <c r="AG41" i="19"/>
  <c r="AF26" i="19"/>
  <c r="AF27" i="19"/>
  <c r="AF28" i="19"/>
  <c r="AF31" i="19"/>
  <c r="AF32" i="19"/>
  <c r="AF33" i="19"/>
  <c r="AF41" i="19"/>
  <c r="AE26" i="19"/>
  <c r="AE27" i="19"/>
  <c r="AE28" i="19"/>
  <c r="AE31" i="19"/>
  <c r="AE32" i="19"/>
  <c r="AE33" i="19"/>
  <c r="AE41" i="19"/>
  <c r="AD26" i="19"/>
  <c r="AD27" i="19"/>
  <c r="AD28" i="19"/>
  <c r="AD31" i="19"/>
  <c r="AD32" i="19"/>
  <c r="AD33" i="19"/>
  <c r="AD41" i="19"/>
  <c r="AC26" i="19"/>
  <c r="AC27" i="19"/>
  <c r="AC28" i="19"/>
  <c r="AC31" i="19"/>
  <c r="AC32" i="19"/>
  <c r="AC33" i="19"/>
  <c r="AC41" i="19"/>
  <c r="AB26" i="19"/>
  <c r="AB27" i="19"/>
  <c r="AB28" i="19"/>
  <c r="AB31" i="19"/>
  <c r="AB32" i="19"/>
  <c r="AB33" i="19"/>
  <c r="AB41" i="19"/>
  <c r="AA26" i="19"/>
  <c r="AA27" i="19"/>
  <c r="AA28" i="19"/>
  <c r="AA31" i="19"/>
  <c r="AA32" i="19"/>
  <c r="AA33" i="19"/>
  <c r="AA41" i="19"/>
  <c r="Z26" i="19"/>
  <c r="Z27" i="19"/>
  <c r="Z28" i="19"/>
  <c r="Z31" i="19"/>
  <c r="Z32" i="19"/>
  <c r="Z33" i="19"/>
  <c r="Z41" i="19"/>
  <c r="Y26" i="19"/>
  <c r="Y27" i="19"/>
  <c r="Y28" i="19"/>
  <c r="Y31" i="19"/>
  <c r="Y32" i="19"/>
  <c r="Y33" i="19"/>
  <c r="Y41" i="19"/>
  <c r="X26" i="19"/>
  <c r="X27" i="19"/>
  <c r="X28" i="19"/>
  <c r="X31" i="19"/>
  <c r="X32" i="19"/>
  <c r="X33" i="19"/>
  <c r="X41" i="19"/>
  <c r="W26" i="19"/>
  <c r="W27" i="19"/>
  <c r="W28" i="19"/>
  <c r="W31" i="19"/>
  <c r="W32" i="19"/>
  <c r="W33" i="19"/>
  <c r="W41" i="19"/>
  <c r="V26" i="19"/>
  <c r="V27" i="19"/>
  <c r="V28" i="19"/>
  <c r="V31" i="19"/>
  <c r="V32" i="19"/>
  <c r="V33" i="19"/>
  <c r="V41" i="19"/>
  <c r="U26" i="19"/>
  <c r="U27" i="19"/>
  <c r="U28" i="19"/>
  <c r="U31" i="19"/>
  <c r="U32" i="19"/>
  <c r="U33" i="19"/>
  <c r="U41" i="19"/>
  <c r="T26" i="19"/>
  <c r="T27" i="19"/>
  <c r="T28" i="19"/>
  <c r="T31" i="19"/>
  <c r="T32" i="19"/>
  <c r="T33" i="19"/>
  <c r="T41" i="19"/>
  <c r="S26" i="19"/>
  <c r="S27" i="19"/>
  <c r="S28" i="19"/>
  <c r="S31" i="19"/>
  <c r="S32" i="19"/>
  <c r="S33" i="19"/>
  <c r="S41" i="19"/>
  <c r="R26" i="19"/>
  <c r="R27" i="19"/>
  <c r="R28" i="19"/>
  <c r="R31" i="19"/>
  <c r="R32" i="19"/>
  <c r="R33" i="19"/>
  <c r="R41" i="19"/>
  <c r="Q26" i="19"/>
  <c r="Q27" i="19"/>
  <c r="Q28" i="19"/>
  <c r="Q31" i="19"/>
  <c r="Q32" i="19"/>
  <c r="Q33" i="19"/>
  <c r="Q41" i="19"/>
  <c r="P26" i="19"/>
  <c r="P27" i="19"/>
  <c r="P28" i="19"/>
  <c r="P31" i="19"/>
  <c r="P32" i="19"/>
  <c r="P33" i="19"/>
  <c r="P41" i="19"/>
  <c r="O26" i="19"/>
  <c r="O27" i="19"/>
  <c r="O28" i="19"/>
  <c r="O31" i="19"/>
  <c r="O32" i="19"/>
  <c r="O33" i="19"/>
  <c r="O41" i="19"/>
  <c r="N26" i="19"/>
  <c r="N27" i="19"/>
  <c r="N28" i="19"/>
  <c r="N31" i="19"/>
  <c r="N32" i="19"/>
  <c r="N33" i="19"/>
  <c r="N41" i="19"/>
  <c r="M26" i="19"/>
  <c r="M27" i="19"/>
  <c r="M28" i="19"/>
  <c r="M31" i="19"/>
  <c r="M32" i="19"/>
  <c r="M33" i="19"/>
  <c r="M41" i="19"/>
  <c r="L26" i="19"/>
  <c r="L27" i="19"/>
  <c r="L28" i="19"/>
  <c r="L31" i="19"/>
  <c r="L32" i="19"/>
  <c r="L33" i="19"/>
  <c r="L41" i="19"/>
  <c r="K26" i="19"/>
  <c r="K27" i="19"/>
  <c r="K28" i="19"/>
  <c r="K31" i="19"/>
  <c r="K32" i="19"/>
  <c r="K33" i="19"/>
  <c r="K41" i="19"/>
  <c r="J26" i="19"/>
  <c r="J27" i="19"/>
  <c r="J28" i="19"/>
  <c r="J31" i="19"/>
  <c r="J32" i="19"/>
  <c r="J33" i="19"/>
  <c r="J41" i="19"/>
  <c r="I26" i="19"/>
  <c r="I27" i="19"/>
  <c r="D23" i="14" s="1"/>
  <c r="I28" i="19"/>
  <c r="D24" i="14" s="1"/>
  <c r="I31" i="19"/>
  <c r="I32" i="19"/>
  <c r="I33" i="19"/>
  <c r="I41" i="19"/>
  <c r="D33" i="14" s="1"/>
  <c r="D21" i="14"/>
  <c r="H26" i="19"/>
  <c r="H27" i="19"/>
  <c r="H28" i="19"/>
  <c r="H31" i="19"/>
  <c r="H32" i="19"/>
  <c r="H33" i="19"/>
  <c r="H41" i="19"/>
  <c r="G26" i="19"/>
  <c r="G27" i="19"/>
  <c r="G28" i="19"/>
  <c r="G31" i="19"/>
  <c r="G32" i="19"/>
  <c r="G33" i="19"/>
  <c r="G41" i="19"/>
  <c r="F26" i="19"/>
  <c r="F27" i="19"/>
  <c r="F28" i="19"/>
  <c r="F31" i="19"/>
  <c r="F32" i="19"/>
  <c r="F33" i="19"/>
  <c r="F41" i="19"/>
  <c r="E26" i="19"/>
  <c r="E27" i="19"/>
  <c r="E28" i="19"/>
  <c r="E31" i="19"/>
  <c r="E32" i="19"/>
  <c r="E33" i="19"/>
  <c r="E41" i="19"/>
  <c r="D26" i="19"/>
  <c r="D27" i="19"/>
  <c r="C23" i="14" s="1"/>
  <c r="D28" i="19"/>
  <c r="C24" i="14" s="1"/>
  <c r="D31" i="19"/>
  <c r="D32" i="19"/>
  <c r="D33" i="19"/>
  <c r="D41" i="19"/>
  <c r="C33" i="14" s="1"/>
  <c r="C21" i="14"/>
  <c r="E8" i="15"/>
  <c r="G16" i="19"/>
  <c r="F38" i="19"/>
  <c r="F39" i="19"/>
  <c r="F54" i="19"/>
  <c r="F58" i="19"/>
  <c r="F59" i="19"/>
  <c r="E65" i="14" s="1"/>
  <c r="E46" i="14"/>
  <c r="E59" i="14"/>
  <c r="D49" i="14"/>
  <c r="E49" i="14" s="1"/>
  <c r="D64" i="14"/>
  <c r="D47" i="14"/>
  <c r="D48" i="14" s="1"/>
  <c r="D50" i="14" s="1"/>
  <c r="D60" i="14"/>
  <c r="C31" i="14"/>
  <c r="U26" i="18"/>
  <c r="U27" i="18"/>
  <c r="U28" i="18"/>
  <c r="U31" i="18"/>
  <c r="U32" i="18"/>
  <c r="U33" i="18"/>
  <c r="U41" i="18"/>
  <c r="T26" i="18"/>
  <c r="T27" i="18"/>
  <c r="T28" i="18"/>
  <c r="T31" i="18"/>
  <c r="T32" i="18"/>
  <c r="T33" i="18"/>
  <c r="T41" i="18"/>
  <c r="S26" i="18"/>
  <c r="S27" i="18"/>
  <c r="S28" i="18"/>
  <c r="S31" i="18"/>
  <c r="S32" i="18"/>
  <c r="S33" i="18"/>
  <c r="S41" i="18"/>
  <c r="R26" i="18"/>
  <c r="R27" i="18"/>
  <c r="R28" i="18"/>
  <c r="R31" i="18"/>
  <c r="R32" i="18"/>
  <c r="R33" i="18"/>
  <c r="R41" i="18"/>
  <c r="Q26" i="18"/>
  <c r="Q27" i="18"/>
  <c r="Q28" i="18"/>
  <c r="Q31" i="18"/>
  <c r="Q32" i="18"/>
  <c r="Q33" i="18"/>
  <c r="Q41" i="18"/>
  <c r="P26" i="18"/>
  <c r="P27" i="18"/>
  <c r="P28" i="18"/>
  <c r="P31" i="18"/>
  <c r="P32" i="18"/>
  <c r="P33" i="18"/>
  <c r="P41" i="18"/>
  <c r="O26" i="18"/>
  <c r="O27" i="18"/>
  <c r="O28" i="18"/>
  <c r="O31" i="18"/>
  <c r="O32" i="18"/>
  <c r="O33" i="18"/>
  <c r="O41" i="18"/>
  <c r="N26" i="18"/>
  <c r="N27" i="18"/>
  <c r="N28" i="18"/>
  <c r="N31" i="18"/>
  <c r="N32" i="18"/>
  <c r="N33" i="18"/>
  <c r="N41" i="18"/>
  <c r="M26" i="18"/>
  <c r="M27" i="18"/>
  <c r="M28" i="18"/>
  <c r="M31" i="18"/>
  <c r="M32" i="18"/>
  <c r="M33" i="18"/>
  <c r="M41" i="18"/>
  <c r="L26" i="18"/>
  <c r="L27" i="18"/>
  <c r="L28" i="18"/>
  <c r="L31" i="18"/>
  <c r="L32" i="18"/>
  <c r="L33" i="18"/>
  <c r="L41" i="18"/>
  <c r="K26" i="18"/>
  <c r="K27" i="18"/>
  <c r="K28" i="18"/>
  <c r="K31" i="18"/>
  <c r="K32" i="18"/>
  <c r="K33" i="18"/>
  <c r="K41" i="18"/>
  <c r="J26" i="18"/>
  <c r="J27" i="18"/>
  <c r="J28" i="18"/>
  <c r="J31" i="18"/>
  <c r="J32" i="18"/>
  <c r="J33" i="18"/>
  <c r="J41" i="18"/>
  <c r="I26" i="18"/>
  <c r="I27" i="18"/>
  <c r="I28" i="18"/>
  <c r="I31" i="18"/>
  <c r="I32" i="18"/>
  <c r="I33" i="18"/>
  <c r="I41" i="18"/>
  <c r="H26" i="18"/>
  <c r="H27" i="18"/>
  <c r="H28" i="18"/>
  <c r="H31" i="18"/>
  <c r="H32" i="18"/>
  <c r="H33" i="18"/>
  <c r="H41" i="18"/>
  <c r="G26" i="18"/>
  <c r="G27" i="18"/>
  <c r="G28" i="18"/>
  <c r="G31" i="18"/>
  <c r="G32" i="18"/>
  <c r="G33" i="18"/>
  <c r="G41" i="18"/>
  <c r="F26" i="18"/>
  <c r="F27" i="18"/>
  <c r="F28" i="18"/>
  <c r="F31" i="18"/>
  <c r="F32" i="18"/>
  <c r="F33" i="18"/>
  <c r="F41" i="18"/>
  <c r="E26" i="18"/>
  <c r="E27" i="18"/>
  <c r="E28" i="18"/>
  <c r="E31" i="18"/>
  <c r="E32" i="18"/>
  <c r="E33" i="18"/>
  <c r="E41" i="18"/>
  <c r="D26" i="18"/>
  <c r="D27" i="18"/>
  <c r="D28" i="18"/>
  <c r="D31" i="18"/>
  <c r="D32" i="18"/>
  <c r="D33" i="18"/>
  <c r="D41" i="18"/>
  <c r="D8" i="15"/>
  <c r="G16" i="18"/>
  <c r="F38" i="18"/>
  <c r="F39" i="18"/>
  <c r="F54" i="18"/>
  <c r="F58" i="18"/>
  <c r="F59" i="18"/>
  <c r="N26" i="17"/>
  <c r="N27" i="17"/>
  <c r="N28" i="17"/>
  <c r="N31" i="17"/>
  <c r="N32" i="17"/>
  <c r="N33" i="17"/>
  <c r="N41" i="17"/>
  <c r="M26" i="17"/>
  <c r="M27" i="17"/>
  <c r="M28" i="17"/>
  <c r="M31" i="17"/>
  <c r="M32" i="17"/>
  <c r="M33" i="17"/>
  <c r="M41" i="17"/>
  <c r="L26" i="17"/>
  <c r="L27" i="17"/>
  <c r="L28" i="17"/>
  <c r="L31" i="17"/>
  <c r="L32" i="17"/>
  <c r="L33" i="17"/>
  <c r="L41" i="17"/>
  <c r="K26" i="17"/>
  <c r="K27" i="17"/>
  <c r="K28" i="17"/>
  <c r="K31" i="17"/>
  <c r="K32" i="17"/>
  <c r="K33" i="17"/>
  <c r="K41" i="17"/>
  <c r="J26" i="17"/>
  <c r="J27" i="17"/>
  <c r="J28" i="17"/>
  <c r="J31" i="17"/>
  <c r="J32" i="17"/>
  <c r="J33" i="17"/>
  <c r="J41" i="17"/>
  <c r="I26" i="17"/>
  <c r="I27" i="17"/>
  <c r="I28" i="17"/>
  <c r="I31" i="17"/>
  <c r="I32" i="17"/>
  <c r="I33" i="17"/>
  <c r="I41" i="17"/>
  <c r="H26" i="17"/>
  <c r="H27" i="17"/>
  <c r="H28" i="17"/>
  <c r="H31" i="17"/>
  <c r="H32" i="17"/>
  <c r="H33" i="17"/>
  <c r="H41" i="17"/>
  <c r="G26" i="17"/>
  <c r="G27" i="17"/>
  <c r="G28" i="17"/>
  <c r="G31" i="17"/>
  <c r="G32" i="17"/>
  <c r="G33" i="17"/>
  <c r="G41" i="17"/>
  <c r="F26" i="17"/>
  <c r="F27" i="17"/>
  <c r="F28" i="17"/>
  <c r="F31" i="17"/>
  <c r="F32" i="17"/>
  <c r="F33" i="17"/>
  <c r="F41" i="17"/>
  <c r="E28" i="17"/>
  <c r="E31" i="17"/>
  <c r="D27" i="17"/>
  <c r="D28" i="17"/>
  <c r="D31" i="17"/>
  <c r="D33" i="17"/>
  <c r="D41" i="17"/>
  <c r="C8" i="15"/>
  <c r="G16" i="17"/>
  <c r="F38" i="17"/>
  <c r="F39" i="17"/>
  <c r="F54" i="17"/>
  <c r="F58" i="17"/>
  <c r="F59" i="17"/>
  <c r="E47" i="15"/>
  <c r="F30" i="14"/>
  <c r="C69" i="14"/>
  <c r="D69" i="14"/>
  <c r="E69" i="14"/>
  <c r="F69" i="14"/>
  <c r="G69" i="14"/>
  <c r="H69" i="14"/>
  <c r="I69" i="14"/>
  <c r="D48" i="16"/>
  <c r="E48" i="16" s="1"/>
  <c r="G48" i="16" s="1"/>
  <c r="D14" i="19" s="1"/>
  <c r="D14" i="18"/>
  <c r="D46" i="16"/>
  <c r="D14" i="17" s="1"/>
  <c r="E29" i="17" l="1"/>
  <c r="E30" i="17" s="1"/>
  <c r="I29" i="19"/>
  <c r="D22" i="14"/>
  <c r="D29" i="19"/>
  <c r="C22" i="14"/>
  <c r="H16" i="19"/>
  <c r="G38" i="19"/>
  <c r="G39" i="19"/>
  <c r="G54" i="19"/>
  <c r="G58" i="19"/>
  <c r="G59" i="19"/>
  <c r="F65" i="14" s="1"/>
  <c r="F46" i="14"/>
  <c r="F59" i="14"/>
  <c r="E47" i="14"/>
  <c r="E48" i="14" s="1"/>
  <c r="E50" i="14" s="1"/>
  <c r="E60" i="14"/>
  <c r="E64" i="14"/>
  <c r="H16" i="18"/>
  <c r="G38" i="18"/>
  <c r="G39" i="18"/>
  <c r="G54" i="18"/>
  <c r="G58" i="18"/>
  <c r="G59" i="18"/>
  <c r="H16" i="17"/>
  <c r="G38" i="17"/>
  <c r="G39" i="17"/>
  <c r="G54" i="17"/>
  <c r="G58" i="17"/>
  <c r="G59" i="17"/>
  <c r="F47" i="15"/>
  <c r="F46" i="16"/>
  <c r="F48" i="16"/>
  <c r="D43" i="17"/>
  <c r="E43" i="17"/>
  <c r="F43" i="17"/>
  <c r="G43" i="17"/>
  <c r="H43" i="17"/>
  <c r="D49" i="17"/>
  <c r="C9" i="15"/>
  <c r="C41" i="14" s="1"/>
  <c r="D43" i="18"/>
  <c r="E43" i="18"/>
  <c r="F43" i="18"/>
  <c r="G43" i="18"/>
  <c r="H43" i="18"/>
  <c r="D49" i="18"/>
  <c r="D9" i="15"/>
  <c r="D41" i="14" s="1"/>
  <c r="D43" i="19"/>
  <c r="E43" i="19"/>
  <c r="F43" i="19"/>
  <c r="G43" i="19"/>
  <c r="H43" i="19"/>
  <c r="D49" i="19"/>
  <c r="E9" i="15"/>
  <c r="E41" i="14" s="1"/>
  <c r="AG29" i="19"/>
  <c r="AF29" i="19"/>
  <c r="AE29" i="19"/>
  <c r="AD29" i="19"/>
  <c r="AC29" i="19"/>
  <c r="AB29" i="19"/>
  <c r="AA29" i="19"/>
  <c r="Z29" i="19"/>
  <c r="Y29" i="19"/>
  <c r="X29" i="19"/>
  <c r="W29" i="19"/>
  <c r="V29" i="19"/>
  <c r="U29" i="19"/>
  <c r="T29" i="19"/>
  <c r="S29" i="19"/>
  <c r="R29" i="19"/>
  <c r="Q29" i="19"/>
  <c r="P29" i="19"/>
  <c r="O29" i="19"/>
  <c r="N29" i="19"/>
  <c r="M29" i="19"/>
  <c r="L29" i="19"/>
  <c r="K29" i="19"/>
  <c r="J29" i="19"/>
  <c r="D27" i="14"/>
  <c r="H29" i="19"/>
  <c r="G29" i="19"/>
  <c r="F29" i="19"/>
  <c r="E29" i="19"/>
  <c r="C27" i="14"/>
  <c r="U29" i="18"/>
  <c r="T29" i="18"/>
  <c r="S29" i="18"/>
  <c r="R29" i="18"/>
  <c r="Q29" i="18"/>
  <c r="P29" i="18"/>
  <c r="O29" i="18"/>
  <c r="N29" i="18"/>
  <c r="M29" i="18"/>
  <c r="L29" i="18"/>
  <c r="K29" i="18"/>
  <c r="J29" i="18"/>
  <c r="I29" i="18"/>
  <c r="H29" i="18"/>
  <c r="G29" i="18"/>
  <c r="F29" i="18"/>
  <c r="E29" i="18"/>
  <c r="D29" i="18"/>
  <c r="N29" i="17"/>
  <c r="M29" i="17"/>
  <c r="L29" i="17"/>
  <c r="K29" i="17"/>
  <c r="J29" i="17"/>
  <c r="I29" i="17"/>
  <c r="H29" i="17"/>
  <c r="G29" i="17"/>
  <c r="F29" i="17"/>
  <c r="D29" i="17"/>
  <c r="I30" i="19" l="1"/>
  <c r="D26" i="14" s="1"/>
  <c r="I34" i="19"/>
  <c r="D25" i="14"/>
  <c r="D30" i="19"/>
  <c r="C26" i="14" s="1"/>
  <c r="D34" i="19"/>
  <c r="C25" i="14"/>
  <c r="I16" i="19"/>
  <c r="H38" i="19"/>
  <c r="C8" i="14" s="1"/>
  <c r="H39" i="19"/>
  <c r="H54" i="19"/>
  <c r="H58" i="19"/>
  <c r="H59" i="19"/>
  <c r="G65" i="14" s="1"/>
  <c r="G46" i="14"/>
  <c r="G59" i="14"/>
  <c r="F47" i="14"/>
  <c r="F48" i="14" s="1"/>
  <c r="F60" i="14"/>
  <c r="F49" i="14"/>
  <c r="G49" i="14" s="1"/>
  <c r="F64" i="14"/>
  <c r="I16" i="18"/>
  <c r="H38" i="18"/>
  <c r="H39" i="18"/>
  <c r="H54" i="18"/>
  <c r="H58" i="18"/>
  <c r="H59" i="18"/>
  <c r="I16" i="17"/>
  <c r="H38" i="17"/>
  <c r="H39" i="17"/>
  <c r="H54" i="17"/>
  <c r="H58" i="17"/>
  <c r="H59" i="17"/>
  <c r="G47" i="15"/>
  <c r="AG30" i="19"/>
  <c r="AG34" i="19" s="1"/>
  <c r="AF30" i="19"/>
  <c r="AF34" i="19" s="1"/>
  <c r="AE30" i="19"/>
  <c r="AE34" i="19" s="1"/>
  <c r="AD30" i="19"/>
  <c r="AD34" i="19" s="1"/>
  <c r="AC30" i="19"/>
  <c r="AC34" i="19" s="1"/>
  <c r="AB30" i="19"/>
  <c r="AB34" i="19" s="1"/>
  <c r="AA30" i="19"/>
  <c r="AA34" i="19" s="1"/>
  <c r="Z30" i="19"/>
  <c r="Z34" i="19" s="1"/>
  <c r="Y30" i="19"/>
  <c r="Y34" i="19" s="1"/>
  <c r="X30" i="19"/>
  <c r="X34" i="19" s="1"/>
  <c r="W30" i="19"/>
  <c r="W34" i="19" s="1"/>
  <c r="V30" i="19"/>
  <c r="V34" i="19" s="1"/>
  <c r="U30" i="19"/>
  <c r="U34" i="19" s="1"/>
  <c r="T30" i="19"/>
  <c r="T34" i="19" s="1"/>
  <c r="S30" i="19"/>
  <c r="S34" i="19" s="1"/>
  <c r="R30" i="19"/>
  <c r="R34" i="19" s="1"/>
  <c r="Q30" i="19"/>
  <c r="Q34" i="19" s="1"/>
  <c r="P30" i="19"/>
  <c r="P34" i="19" s="1"/>
  <c r="O30" i="19"/>
  <c r="O34" i="19" s="1"/>
  <c r="N30" i="19"/>
  <c r="N34" i="19" s="1"/>
  <c r="M30" i="19"/>
  <c r="M34" i="19" s="1"/>
  <c r="L30" i="19"/>
  <c r="L34" i="19" s="1"/>
  <c r="K30" i="19"/>
  <c r="K34" i="19" s="1"/>
  <c r="J30" i="19"/>
  <c r="J34" i="19" s="1"/>
  <c r="H30" i="19"/>
  <c r="H34" i="19" s="1"/>
  <c r="G30" i="19"/>
  <c r="G34" i="19" s="1"/>
  <c r="F30" i="19"/>
  <c r="F34" i="19" s="1"/>
  <c r="E30" i="19"/>
  <c r="E34" i="19" s="1"/>
  <c r="U30" i="18"/>
  <c r="U34" i="18" s="1"/>
  <c r="T30" i="18"/>
  <c r="T34" i="18" s="1"/>
  <c r="S30" i="18"/>
  <c r="S34" i="18" s="1"/>
  <c r="R30" i="18"/>
  <c r="R34" i="18" s="1"/>
  <c r="Q30" i="18"/>
  <c r="Q34" i="18" s="1"/>
  <c r="P30" i="18"/>
  <c r="P34" i="18" s="1"/>
  <c r="O30" i="18"/>
  <c r="O34" i="18" s="1"/>
  <c r="N30" i="18"/>
  <c r="N34" i="18" s="1"/>
  <c r="M30" i="18"/>
  <c r="M34" i="18" s="1"/>
  <c r="L30" i="18"/>
  <c r="L34" i="18" s="1"/>
  <c r="K30" i="18"/>
  <c r="K34" i="18" s="1"/>
  <c r="J30" i="18"/>
  <c r="J34" i="18" s="1"/>
  <c r="I30" i="18"/>
  <c r="I34" i="18" s="1"/>
  <c r="H30" i="18"/>
  <c r="H34" i="18" s="1"/>
  <c r="G30" i="18"/>
  <c r="F30" i="18"/>
  <c r="F34" i="18" s="1"/>
  <c r="E30" i="18"/>
  <c r="E34" i="18" s="1"/>
  <c r="D30" i="18"/>
  <c r="D34" i="18" s="1"/>
  <c r="N30" i="17"/>
  <c r="N34" i="17" s="1"/>
  <c r="M30" i="17"/>
  <c r="M34" i="17" s="1"/>
  <c r="L30" i="17"/>
  <c r="L34" i="17" s="1"/>
  <c r="K30" i="17"/>
  <c r="K34" i="17" s="1"/>
  <c r="J30" i="17"/>
  <c r="J34" i="17" s="1"/>
  <c r="I30" i="17"/>
  <c r="I34" i="17" s="1"/>
  <c r="H30" i="17"/>
  <c r="H34" i="17" s="1"/>
  <c r="G30" i="17"/>
  <c r="G34" i="17" s="1"/>
  <c r="F30" i="17"/>
  <c r="F34" i="17" s="1"/>
  <c r="E34" i="17"/>
  <c r="D30" i="17"/>
  <c r="D34" i="17" s="1"/>
  <c r="E36" i="17" l="1"/>
  <c r="E37" i="17" s="1"/>
  <c r="E40" i="17" s="1"/>
  <c r="E66" i="17" s="1"/>
  <c r="I36" i="19"/>
  <c r="I37" i="19" s="1"/>
  <c r="D30" i="14" s="1"/>
  <c r="I55" i="19"/>
  <c r="H61" i="14" s="1"/>
  <c r="D28" i="14"/>
  <c r="D36" i="19"/>
  <c r="D37" i="19" s="1"/>
  <c r="C30" i="14" s="1"/>
  <c r="D40" i="19"/>
  <c r="D55" i="19"/>
  <c r="C28" i="14"/>
  <c r="I43" i="19"/>
  <c r="J16" i="19"/>
  <c r="I38" i="19"/>
  <c r="I39" i="19"/>
  <c r="I54" i="19"/>
  <c r="I58" i="19"/>
  <c r="I59" i="19"/>
  <c r="H65" i="14" s="1"/>
  <c r="H59" i="14"/>
  <c r="G47" i="14"/>
  <c r="G48" i="14" s="1"/>
  <c r="G50" i="14" s="1"/>
  <c r="G60" i="14"/>
  <c r="G64" i="14"/>
  <c r="I43" i="18"/>
  <c r="J16" i="18"/>
  <c r="I38" i="18"/>
  <c r="I39" i="18"/>
  <c r="I54" i="18"/>
  <c r="I58" i="18"/>
  <c r="I59" i="18"/>
  <c r="I43" i="17"/>
  <c r="J16" i="17"/>
  <c r="I38" i="17"/>
  <c r="I39" i="17"/>
  <c r="I54" i="17"/>
  <c r="I58" i="17"/>
  <c r="I59" i="17"/>
  <c r="H47" i="15"/>
  <c r="AG36" i="19"/>
  <c r="AG37" i="19" s="1"/>
  <c r="AG55" i="19"/>
  <c r="AF36" i="19"/>
  <c r="AF37" i="19" s="1"/>
  <c r="AF55" i="19"/>
  <c r="AE36" i="19"/>
  <c r="AE37" i="19" s="1"/>
  <c r="AE55" i="19"/>
  <c r="AD36" i="19"/>
  <c r="AD37" i="19" s="1"/>
  <c r="AD55" i="19"/>
  <c r="AC36" i="19"/>
  <c r="AC37" i="19" s="1"/>
  <c r="AC55" i="19"/>
  <c r="AB36" i="19"/>
  <c r="AB37" i="19" s="1"/>
  <c r="AB55" i="19"/>
  <c r="AA36" i="19"/>
  <c r="AA37" i="19" s="1"/>
  <c r="AA55" i="19"/>
  <c r="Z36" i="19"/>
  <c r="Z37" i="19" s="1"/>
  <c r="Z55" i="19"/>
  <c r="Y36" i="19"/>
  <c r="Y37" i="19" s="1"/>
  <c r="Y55" i="19"/>
  <c r="X36" i="19"/>
  <c r="X37" i="19" s="1"/>
  <c r="X55" i="19"/>
  <c r="W36" i="19"/>
  <c r="W37" i="19" s="1"/>
  <c r="W55" i="19"/>
  <c r="V36" i="19"/>
  <c r="V37" i="19" s="1"/>
  <c r="V55" i="19"/>
  <c r="U36" i="19"/>
  <c r="U37" i="19" s="1"/>
  <c r="U55" i="19"/>
  <c r="T36" i="19"/>
  <c r="T37" i="19" s="1"/>
  <c r="T55" i="19"/>
  <c r="S36" i="19"/>
  <c r="S37" i="19" s="1"/>
  <c r="S55" i="19"/>
  <c r="R36" i="19"/>
  <c r="R37" i="19" s="1"/>
  <c r="R55" i="19"/>
  <c r="Q36" i="19"/>
  <c r="Q37" i="19" s="1"/>
  <c r="Q55" i="19"/>
  <c r="P36" i="19"/>
  <c r="P37" i="19" s="1"/>
  <c r="P55" i="19"/>
  <c r="O36" i="19"/>
  <c r="O37" i="19" s="1"/>
  <c r="O55" i="19"/>
  <c r="N36" i="19"/>
  <c r="N37" i="19" s="1"/>
  <c r="N55" i="19"/>
  <c r="M36" i="19"/>
  <c r="M37" i="19" s="1"/>
  <c r="M55" i="19"/>
  <c r="L36" i="19"/>
  <c r="L37" i="19" s="1"/>
  <c r="L55" i="19"/>
  <c r="K36" i="19"/>
  <c r="K37" i="19" s="1"/>
  <c r="K55" i="19"/>
  <c r="J36" i="19"/>
  <c r="J37" i="19" s="1"/>
  <c r="J55" i="19"/>
  <c r="I61" i="14" s="1"/>
  <c r="H36" i="19"/>
  <c r="H37" i="19" s="1"/>
  <c r="H40" i="19"/>
  <c r="H66" i="19" s="1"/>
  <c r="H55" i="19"/>
  <c r="G36" i="19"/>
  <c r="G37" i="19" s="1"/>
  <c r="G40" i="19"/>
  <c r="G55" i="19"/>
  <c r="F36" i="19"/>
  <c r="F37" i="19" s="1"/>
  <c r="F40" i="19"/>
  <c r="F55" i="19"/>
  <c r="E36" i="19"/>
  <c r="E37" i="19" s="1"/>
  <c r="E40" i="19"/>
  <c r="E55" i="19"/>
  <c r="E56" i="19" s="1"/>
  <c r="U36" i="18"/>
  <c r="U37" i="18" s="1"/>
  <c r="U55" i="18"/>
  <c r="T36" i="18"/>
  <c r="T37" i="18" s="1"/>
  <c r="T55" i="18"/>
  <c r="S36" i="18"/>
  <c r="S37" i="18" s="1"/>
  <c r="S55" i="18"/>
  <c r="R36" i="18"/>
  <c r="R37" i="18" s="1"/>
  <c r="R55" i="18"/>
  <c r="Q36" i="18"/>
  <c r="Q37" i="18" s="1"/>
  <c r="Q55" i="18"/>
  <c r="P36" i="18"/>
  <c r="P37" i="18" s="1"/>
  <c r="P55" i="18"/>
  <c r="O36" i="18"/>
  <c r="O37" i="18" s="1"/>
  <c r="O55" i="18"/>
  <c r="N36" i="18"/>
  <c r="N37" i="18" s="1"/>
  <c r="N55" i="18"/>
  <c r="M36" i="18"/>
  <c r="M37" i="18" s="1"/>
  <c r="M55" i="18"/>
  <c r="L36" i="18"/>
  <c r="L37" i="18" s="1"/>
  <c r="L55" i="18"/>
  <c r="K36" i="18"/>
  <c r="K37" i="18" s="1"/>
  <c r="K55" i="18"/>
  <c r="J36" i="18"/>
  <c r="J37" i="18" s="1"/>
  <c r="J55" i="18"/>
  <c r="I36" i="18"/>
  <c r="I37" i="18" s="1"/>
  <c r="I40" i="18"/>
  <c r="I55" i="18"/>
  <c r="H36" i="18"/>
  <c r="H37" i="18" s="1"/>
  <c r="H40" i="18"/>
  <c r="H55" i="18"/>
  <c r="H56" i="18" s="1"/>
  <c r="G36" i="18"/>
  <c r="G37" i="18" s="1"/>
  <c r="G40" i="18"/>
  <c r="G55" i="18"/>
  <c r="G56" i="18" s="1"/>
  <c r="F36" i="18"/>
  <c r="F37" i="18" s="1"/>
  <c r="F40" i="18"/>
  <c r="F55" i="18"/>
  <c r="F56" i="18" s="1"/>
  <c r="E36" i="18"/>
  <c r="E37" i="18" s="1"/>
  <c r="E40" i="18"/>
  <c r="E55" i="18"/>
  <c r="E56" i="18" s="1"/>
  <c r="D36" i="18"/>
  <c r="D37" i="18" s="1"/>
  <c r="D40" i="18"/>
  <c r="D55" i="18"/>
  <c r="D56" i="18" s="1"/>
  <c r="N36" i="17"/>
  <c r="N37" i="17" s="1"/>
  <c r="N55" i="17"/>
  <c r="M36" i="17"/>
  <c r="M37" i="17" s="1"/>
  <c r="M55" i="17"/>
  <c r="L36" i="17"/>
  <c r="L37" i="17" s="1"/>
  <c r="L55" i="17"/>
  <c r="K36" i="17"/>
  <c r="K37" i="17" s="1"/>
  <c r="K55" i="17"/>
  <c r="J36" i="17"/>
  <c r="J37" i="17" s="1"/>
  <c r="J55" i="17"/>
  <c r="I36" i="17"/>
  <c r="I37" i="17" s="1"/>
  <c r="I40" i="17"/>
  <c r="I55" i="17"/>
  <c r="H36" i="17"/>
  <c r="H37" i="17" s="1"/>
  <c r="H40" i="17"/>
  <c r="H55" i="17"/>
  <c r="G36" i="17"/>
  <c r="G37" i="17" s="1"/>
  <c r="G40" i="17"/>
  <c r="G55" i="17"/>
  <c r="G56" i="17" s="1"/>
  <c r="F36" i="17"/>
  <c r="F37" i="17" s="1"/>
  <c r="F40" i="17"/>
  <c r="F55" i="17"/>
  <c r="F56" i="17" s="1"/>
  <c r="D36" i="17"/>
  <c r="D37" i="17" s="1"/>
  <c r="D40" i="17"/>
  <c r="D66" i="17" s="1"/>
  <c r="D55" i="17"/>
  <c r="D56" i="17" s="1"/>
  <c r="F50" i="14"/>
  <c r="E42" i="17" l="1"/>
  <c r="D66" i="19"/>
  <c r="D42" i="19"/>
  <c r="D60" i="19"/>
  <c r="D61" i="19" s="1"/>
  <c r="D62" i="19" s="1"/>
  <c r="C32" i="14"/>
  <c r="C51" i="14"/>
  <c r="D51" i="14"/>
  <c r="E51" i="14"/>
  <c r="F51" i="14"/>
  <c r="G51" i="14"/>
  <c r="D56" i="19"/>
  <c r="C61" i="14"/>
  <c r="J43" i="19"/>
  <c r="K16" i="19"/>
  <c r="J38" i="19"/>
  <c r="J39" i="19"/>
  <c r="J54" i="19"/>
  <c r="J58" i="19"/>
  <c r="J59" i="19"/>
  <c r="I65" i="14" s="1"/>
  <c r="I59" i="14"/>
  <c r="I56" i="19"/>
  <c r="H60" i="14"/>
  <c r="H64" i="14"/>
  <c r="G52" i="14"/>
  <c r="G53" i="14"/>
  <c r="J43" i="18"/>
  <c r="K16" i="18"/>
  <c r="J38" i="18"/>
  <c r="J39" i="18"/>
  <c r="J54" i="18"/>
  <c r="J56" i="18" s="1"/>
  <c r="J58" i="18"/>
  <c r="J59" i="18"/>
  <c r="J43" i="17"/>
  <c r="K16" i="17"/>
  <c r="J38" i="17"/>
  <c r="J39" i="17"/>
  <c r="J54" i="17"/>
  <c r="J56" i="17" s="1"/>
  <c r="J58" i="17"/>
  <c r="J59" i="17"/>
  <c r="I47" i="15"/>
  <c r="H42" i="19"/>
  <c r="H44" i="19" s="1"/>
  <c r="H60" i="19"/>
  <c r="G66" i="14" s="1"/>
  <c r="G66" i="19"/>
  <c r="G42" i="19"/>
  <c r="G44" i="19" s="1"/>
  <c r="G60" i="19"/>
  <c r="F66" i="14" s="1"/>
  <c r="G56" i="19"/>
  <c r="F61" i="14"/>
  <c r="F66" i="19"/>
  <c r="F42" i="19"/>
  <c r="F44" i="19" s="1"/>
  <c r="F60" i="19"/>
  <c r="E66" i="14" s="1"/>
  <c r="F56" i="19"/>
  <c r="E61" i="14"/>
  <c r="E66" i="19"/>
  <c r="E42" i="19"/>
  <c r="E44" i="19" s="1"/>
  <c r="E60" i="19"/>
  <c r="D66" i="14" s="1"/>
  <c r="D61" i="14"/>
  <c r="I42" i="18"/>
  <c r="I44" i="18" s="1"/>
  <c r="I60" i="18"/>
  <c r="H66" i="18"/>
  <c r="H42" i="18"/>
  <c r="H44" i="18" s="1"/>
  <c r="H60" i="18"/>
  <c r="G66" i="18"/>
  <c r="G42" i="18"/>
  <c r="G44" i="18" s="1"/>
  <c r="G60" i="18"/>
  <c r="F66" i="18"/>
  <c r="F42" i="18"/>
  <c r="F44" i="18" s="1"/>
  <c r="F60" i="18"/>
  <c r="E66" i="18"/>
  <c r="E42" i="18"/>
  <c r="E44" i="18" s="1"/>
  <c r="E60" i="18"/>
  <c r="D66" i="18"/>
  <c r="D42" i="18"/>
  <c r="D60" i="18"/>
  <c r="I42" i="17"/>
  <c r="I44" i="17" s="1"/>
  <c r="I60" i="17"/>
  <c r="H66" i="17"/>
  <c r="H42" i="17"/>
  <c r="H44" i="17" s="1"/>
  <c r="H60" i="17"/>
  <c r="G66" i="17"/>
  <c r="G42" i="17"/>
  <c r="G44" i="17" s="1"/>
  <c r="G60" i="17"/>
  <c r="F66" i="17"/>
  <c r="F42" i="17"/>
  <c r="F44" i="17" s="1"/>
  <c r="F60" i="17"/>
  <c r="E44" i="17"/>
  <c r="D42" i="17"/>
  <c r="D44" i="17" s="1"/>
  <c r="D47" i="17" s="1"/>
  <c r="D60" i="17"/>
  <c r="D61" i="17" s="1"/>
  <c r="E57" i="17" s="1"/>
  <c r="E61" i="17" s="1"/>
  <c r="F53" i="14"/>
  <c r="F52" i="14"/>
  <c r="I56" i="18"/>
  <c r="I66" i="18"/>
  <c r="I56" i="17"/>
  <c r="I66" i="17"/>
  <c r="D31" i="14"/>
  <c r="I40" i="19"/>
  <c r="G61" i="14"/>
  <c r="H56" i="19"/>
  <c r="D62" i="17" l="1"/>
  <c r="D64" i="17"/>
  <c r="D44" i="19"/>
  <c r="C34" i="14"/>
  <c r="C66" i="14"/>
  <c r="C53" i="14"/>
  <c r="C52" i="14"/>
  <c r="D53" i="14"/>
  <c r="D52" i="14"/>
  <c r="E53" i="14"/>
  <c r="E52" i="14"/>
  <c r="D64" i="19"/>
  <c r="C62" i="14"/>
  <c r="K43" i="19"/>
  <c r="L16" i="19"/>
  <c r="K38" i="19"/>
  <c r="K39" i="19"/>
  <c r="K54" i="19"/>
  <c r="K56" i="19" s="1"/>
  <c r="K58" i="19"/>
  <c r="K59" i="19"/>
  <c r="J56" i="19"/>
  <c r="I60" i="14"/>
  <c r="I64" i="14"/>
  <c r="H62" i="14"/>
  <c r="K43" i="18"/>
  <c r="L16" i="18"/>
  <c r="K38" i="18"/>
  <c r="K39" i="18"/>
  <c r="K54" i="18"/>
  <c r="K56" i="18" s="1"/>
  <c r="K58" i="18"/>
  <c r="K59" i="18"/>
  <c r="K43" i="17"/>
  <c r="L16" i="17"/>
  <c r="K38" i="17"/>
  <c r="K39" i="17"/>
  <c r="K54" i="17"/>
  <c r="K56" i="17" s="1"/>
  <c r="K58" i="17"/>
  <c r="K59" i="17"/>
  <c r="J47" i="15"/>
  <c r="F62" i="14"/>
  <c r="E62" i="14"/>
  <c r="D62" i="14"/>
  <c r="D44" i="18"/>
  <c r="D64" i="18"/>
  <c r="E57" i="18"/>
  <c r="D62" i="18"/>
  <c r="D32" i="14"/>
  <c r="I60" i="19"/>
  <c r="H66" i="14" s="1"/>
  <c r="I42" i="19"/>
  <c r="G62" i="14"/>
  <c r="J40" i="19"/>
  <c r="J66" i="19" s="1"/>
  <c r="J40" i="18"/>
  <c r="J40" i="17"/>
  <c r="I66" i="19"/>
  <c r="E57" i="19" l="1"/>
  <c r="C67" i="14"/>
  <c r="B55" i="14"/>
  <c r="C54" i="14"/>
  <c r="C52" i="15"/>
  <c r="C70" i="14"/>
  <c r="L43" i="19"/>
  <c r="M16" i="19"/>
  <c r="L38" i="19"/>
  <c r="L39" i="19"/>
  <c r="L54" i="19"/>
  <c r="L56" i="19" s="1"/>
  <c r="L58" i="19"/>
  <c r="L59" i="19"/>
  <c r="I62" i="14"/>
  <c r="L43" i="18"/>
  <c r="M16" i="18"/>
  <c r="L38" i="18"/>
  <c r="L39" i="18"/>
  <c r="L54" i="18"/>
  <c r="L56" i="18" s="1"/>
  <c r="L58" i="18"/>
  <c r="L59" i="18"/>
  <c r="L43" i="17"/>
  <c r="M16" i="17"/>
  <c r="L38" i="17"/>
  <c r="L39" i="17"/>
  <c r="L54" i="17"/>
  <c r="L56" i="17" s="1"/>
  <c r="L58" i="17"/>
  <c r="L59" i="17"/>
  <c r="K47" i="15"/>
  <c r="E64" i="18"/>
  <c r="E62" i="18"/>
  <c r="F57" i="18"/>
  <c r="F61" i="18" s="1"/>
  <c r="D65" i="18"/>
  <c r="C49" i="15"/>
  <c r="E64" i="17"/>
  <c r="E62" i="17"/>
  <c r="F57" i="17"/>
  <c r="F61" i="17" s="1"/>
  <c r="D65" i="17"/>
  <c r="C48" i="15"/>
  <c r="I44" i="19"/>
  <c r="D34" i="14"/>
  <c r="J60" i="19"/>
  <c r="I66" i="14" s="1"/>
  <c r="J42" i="19"/>
  <c r="J60" i="18"/>
  <c r="J42" i="18"/>
  <c r="J66" i="18"/>
  <c r="J60" i="17"/>
  <c r="J42" i="17"/>
  <c r="J66" i="17"/>
  <c r="B56" i="14"/>
  <c r="K40" i="19"/>
  <c r="K40" i="18"/>
  <c r="K40" i="17"/>
  <c r="E61" i="19" l="1"/>
  <c r="D63" i="14"/>
  <c r="D65" i="19"/>
  <c r="C68" i="14"/>
  <c r="C50" i="15"/>
  <c r="M43" i="19"/>
  <c r="N16" i="19"/>
  <c r="M38" i="19"/>
  <c r="M39" i="19"/>
  <c r="M54" i="19"/>
  <c r="M56" i="19" s="1"/>
  <c r="M58" i="19"/>
  <c r="M59" i="19"/>
  <c r="M43" i="18"/>
  <c r="N16" i="18"/>
  <c r="M38" i="18"/>
  <c r="M39" i="18"/>
  <c r="M54" i="18"/>
  <c r="M56" i="18" s="1"/>
  <c r="M58" i="18"/>
  <c r="M59" i="18"/>
  <c r="M43" i="17"/>
  <c r="N16" i="17"/>
  <c r="M38" i="17"/>
  <c r="M39" i="17"/>
  <c r="M54" i="17"/>
  <c r="M56" i="17" s="1"/>
  <c r="M58" i="17"/>
  <c r="M59" i="17"/>
  <c r="L47" i="15"/>
  <c r="E65" i="18"/>
  <c r="D49" i="15"/>
  <c r="F64" i="18"/>
  <c r="F62" i="18"/>
  <c r="G57" i="18"/>
  <c r="G61" i="18" s="1"/>
  <c r="E65" i="17"/>
  <c r="D48" i="15"/>
  <c r="F64" i="17"/>
  <c r="F62" i="17"/>
  <c r="G57" i="17"/>
  <c r="G61" i="17" s="1"/>
  <c r="J44" i="19"/>
  <c r="J44" i="18"/>
  <c r="J44" i="17"/>
  <c r="K42" i="19"/>
  <c r="K60" i="19"/>
  <c r="K66" i="19"/>
  <c r="K42" i="18"/>
  <c r="K60" i="18"/>
  <c r="K66" i="18"/>
  <c r="K42" i="17"/>
  <c r="K60" i="17"/>
  <c r="K66" i="17"/>
  <c r="L40" i="19"/>
  <c r="L40" i="18"/>
  <c r="L40" i="17"/>
  <c r="E64" i="19" l="1"/>
  <c r="E62" i="19"/>
  <c r="D67" i="14"/>
  <c r="F57" i="19"/>
  <c r="C71" i="14"/>
  <c r="N43" i="19"/>
  <c r="O16" i="19"/>
  <c r="N38" i="19"/>
  <c r="N39" i="19"/>
  <c r="N54" i="19"/>
  <c r="N56" i="19" s="1"/>
  <c r="N58" i="19"/>
  <c r="N59" i="19"/>
  <c r="N43" i="18"/>
  <c r="O16" i="18"/>
  <c r="N38" i="18"/>
  <c r="N39" i="18"/>
  <c r="N54" i="18"/>
  <c r="N56" i="18" s="1"/>
  <c r="N58" i="18"/>
  <c r="N59" i="18"/>
  <c r="N43" i="17"/>
  <c r="N38" i="17"/>
  <c r="N39" i="17"/>
  <c r="N54" i="17"/>
  <c r="N56" i="17" s="1"/>
  <c r="N58" i="17"/>
  <c r="N59" i="17"/>
  <c r="M47" i="15"/>
  <c r="F65" i="18"/>
  <c r="E49" i="15"/>
  <c r="G64" i="18"/>
  <c r="G62" i="18"/>
  <c r="H57" i="18"/>
  <c r="H61" i="18" s="1"/>
  <c r="F65" i="17"/>
  <c r="E48" i="15"/>
  <c r="G64" i="17"/>
  <c r="G62" i="17"/>
  <c r="H57" i="17"/>
  <c r="H61" i="17" s="1"/>
  <c r="H64" i="17" s="1"/>
  <c r="L42" i="19"/>
  <c r="L44" i="19" s="1"/>
  <c r="L60" i="19"/>
  <c r="L66" i="19"/>
  <c r="L42" i="18"/>
  <c r="L44" i="18" s="1"/>
  <c r="L60" i="18"/>
  <c r="L66" i="18"/>
  <c r="L42" i="17"/>
  <c r="L60" i="17"/>
  <c r="L66" i="17"/>
  <c r="M40" i="19"/>
  <c r="M40" i="18"/>
  <c r="M40" i="17"/>
  <c r="K44" i="19"/>
  <c r="K44" i="18"/>
  <c r="K44" i="17"/>
  <c r="L44" i="17" l="1"/>
  <c r="D54" i="14"/>
  <c r="D70" i="14"/>
  <c r="D52" i="15"/>
  <c r="E65" i="19"/>
  <c r="D68" i="14"/>
  <c r="D50" i="15"/>
  <c r="F61" i="19"/>
  <c r="E63" i="14"/>
  <c r="O43" i="19"/>
  <c r="P16" i="19"/>
  <c r="O38" i="19"/>
  <c r="O39" i="19"/>
  <c r="O54" i="19"/>
  <c r="O56" i="19" s="1"/>
  <c r="O58" i="19"/>
  <c r="O59" i="19"/>
  <c r="O43" i="18"/>
  <c r="P16" i="18"/>
  <c r="O38" i="18"/>
  <c r="O39" i="18"/>
  <c r="O54" i="18"/>
  <c r="O56" i="18" s="1"/>
  <c r="O58" i="18"/>
  <c r="O59" i="18"/>
  <c r="G65" i="18"/>
  <c r="F49" i="15"/>
  <c r="H64" i="18"/>
  <c r="H62" i="18"/>
  <c r="I57" i="18"/>
  <c r="I61" i="18" s="1"/>
  <c r="G65" i="17"/>
  <c r="F48" i="15"/>
  <c r="H62" i="17"/>
  <c r="I57" i="17"/>
  <c r="I61" i="17" s="1"/>
  <c r="M42" i="19"/>
  <c r="M44" i="19" s="1"/>
  <c r="M60" i="19"/>
  <c r="M66" i="19"/>
  <c r="M42" i="18"/>
  <c r="M60" i="18"/>
  <c r="M66" i="18"/>
  <c r="M42" i="17"/>
  <c r="M60" i="17"/>
  <c r="M66" i="17"/>
  <c r="N40" i="19"/>
  <c r="N40" i="18"/>
  <c r="N40" i="17"/>
  <c r="D51" i="17" s="1"/>
  <c r="E17" i="15" l="1"/>
  <c r="B74" i="14" s="1"/>
  <c r="D71" i="14"/>
  <c r="F64" i="19"/>
  <c r="F62" i="19"/>
  <c r="E67" i="14"/>
  <c r="G57" i="19"/>
  <c r="P43" i="19"/>
  <c r="Q16" i="19"/>
  <c r="P38" i="19"/>
  <c r="P39" i="19"/>
  <c r="P54" i="19"/>
  <c r="P56" i="19" s="1"/>
  <c r="P58" i="19"/>
  <c r="P59" i="19"/>
  <c r="P43" i="18"/>
  <c r="Q16" i="18"/>
  <c r="P38" i="18"/>
  <c r="P39" i="18"/>
  <c r="P54" i="18"/>
  <c r="P56" i="18" s="1"/>
  <c r="P58" i="18"/>
  <c r="P59" i="18"/>
  <c r="H65" i="18"/>
  <c r="G49" i="15"/>
  <c r="I64" i="18"/>
  <c r="I62" i="18"/>
  <c r="J57" i="18"/>
  <c r="J61" i="18" s="1"/>
  <c r="H65" i="17"/>
  <c r="G48" i="15"/>
  <c r="I64" i="17"/>
  <c r="I62" i="17"/>
  <c r="J57" i="17"/>
  <c r="J61" i="17" s="1"/>
  <c r="M44" i="18"/>
  <c r="M44" i="17"/>
  <c r="N42" i="19"/>
  <c r="N44" i="19" s="1"/>
  <c r="N60" i="19"/>
  <c r="N66" i="19"/>
  <c r="N42" i="18"/>
  <c r="N44" i="18" s="1"/>
  <c r="N60" i="18"/>
  <c r="N66" i="18"/>
  <c r="N42" i="17"/>
  <c r="D48" i="17" s="1"/>
  <c r="D50" i="17" s="1"/>
  <c r="N60" i="17"/>
  <c r="C13" i="15"/>
  <c r="O40" i="19"/>
  <c r="O40" i="18"/>
  <c r="E54" i="14" l="1"/>
  <c r="E70" i="14"/>
  <c r="E52" i="15"/>
  <c r="F65" i="19"/>
  <c r="E68" i="14"/>
  <c r="E50" i="15"/>
  <c r="G61" i="19"/>
  <c r="F63" i="14"/>
  <c r="Q43" i="19"/>
  <c r="R16" i="19"/>
  <c r="Q38" i="19"/>
  <c r="Q39" i="19"/>
  <c r="Q54" i="19"/>
  <c r="Q56" i="19" s="1"/>
  <c r="Q58" i="19"/>
  <c r="Q59" i="19"/>
  <c r="Q43" i="18"/>
  <c r="R16" i="18"/>
  <c r="Q38" i="18"/>
  <c r="Q39" i="18"/>
  <c r="Q54" i="18"/>
  <c r="Q56" i="18" s="1"/>
  <c r="Q58" i="18"/>
  <c r="Q59" i="18"/>
  <c r="I65" i="18"/>
  <c r="H49" i="15"/>
  <c r="J64" i="18"/>
  <c r="J62" i="18"/>
  <c r="K57" i="18"/>
  <c r="K61" i="18" s="1"/>
  <c r="I65" i="17"/>
  <c r="H48" i="15"/>
  <c r="J64" i="17"/>
  <c r="J62" i="17"/>
  <c r="K57" i="17"/>
  <c r="K61" i="17" s="1"/>
  <c r="O42" i="19"/>
  <c r="O44" i="19" s="1"/>
  <c r="O60" i="19"/>
  <c r="O66" i="19"/>
  <c r="O42" i="18"/>
  <c r="O44" i="18" s="1"/>
  <c r="O60" i="18"/>
  <c r="O66" i="18"/>
  <c r="P40" i="19"/>
  <c r="P40" i="18"/>
  <c r="N44" i="17"/>
  <c r="C10" i="15" s="1"/>
  <c r="C39" i="14" s="1"/>
  <c r="E71" i="14" l="1"/>
  <c r="G64" i="19"/>
  <c r="G62" i="19"/>
  <c r="F67" i="14"/>
  <c r="H57" i="19"/>
  <c r="R43" i="19"/>
  <c r="S16" i="19"/>
  <c r="R38" i="19"/>
  <c r="R39" i="19"/>
  <c r="R54" i="19"/>
  <c r="R56" i="19" s="1"/>
  <c r="R58" i="19"/>
  <c r="R59" i="19"/>
  <c r="R43" i="18"/>
  <c r="S16" i="18"/>
  <c r="R38" i="18"/>
  <c r="R39" i="18"/>
  <c r="R54" i="18"/>
  <c r="R56" i="18" s="1"/>
  <c r="R58" i="18"/>
  <c r="R59" i="18"/>
  <c r="J65" i="18"/>
  <c r="I49" i="15"/>
  <c r="K64" i="18"/>
  <c r="K62" i="18"/>
  <c r="L57" i="18"/>
  <c r="L61" i="18" s="1"/>
  <c r="J65" i="17"/>
  <c r="I48" i="15"/>
  <c r="K64" i="17"/>
  <c r="K62" i="17"/>
  <c r="L57" i="17"/>
  <c r="L61" i="17" s="1"/>
  <c r="P42" i="19"/>
  <c r="P44" i="19" s="1"/>
  <c r="P60" i="19"/>
  <c r="P66" i="19"/>
  <c r="P42" i="18"/>
  <c r="P44" i="18" s="1"/>
  <c r="P60" i="18"/>
  <c r="P66" i="18"/>
  <c r="C12" i="15"/>
  <c r="C11" i="15"/>
  <c r="C40" i="14" s="1"/>
  <c r="Q40" i="19"/>
  <c r="Q40" i="18"/>
  <c r="F70" i="14" l="1"/>
  <c r="F52" i="15"/>
  <c r="F54" i="14"/>
  <c r="G65" i="19"/>
  <c r="F68" i="14"/>
  <c r="F50" i="15"/>
  <c r="H61" i="19"/>
  <c r="G63" i="14"/>
  <c r="S43" i="19"/>
  <c r="T16" i="19"/>
  <c r="S38" i="19"/>
  <c r="S39" i="19"/>
  <c r="S54" i="19"/>
  <c r="S56" i="19" s="1"/>
  <c r="S58" i="19"/>
  <c r="S59" i="19"/>
  <c r="S43" i="18"/>
  <c r="T16" i="18"/>
  <c r="S38" i="18"/>
  <c r="S39" i="18"/>
  <c r="S54" i="18"/>
  <c r="S56" i="18" s="1"/>
  <c r="S58" i="18"/>
  <c r="S59" i="18"/>
  <c r="K65" i="18"/>
  <c r="J49" i="15"/>
  <c r="L64" i="18"/>
  <c r="L62" i="18"/>
  <c r="M57" i="18"/>
  <c r="M61" i="18" s="1"/>
  <c r="K65" i="17"/>
  <c r="J48" i="15"/>
  <c r="L64" i="17"/>
  <c r="L62" i="17"/>
  <c r="M57" i="17"/>
  <c r="M61" i="17" s="1"/>
  <c r="Q42" i="19"/>
  <c r="Q44" i="19" s="1"/>
  <c r="Q60" i="19"/>
  <c r="Q66" i="19"/>
  <c r="Q42" i="18"/>
  <c r="Q44" i="18" s="1"/>
  <c r="Q60" i="18"/>
  <c r="Q66" i="18"/>
  <c r="R40" i="19"/>
  <c r="R40" i="18"/>
  <c r="F71" i="14" l="1"/>
  <c r="H64" i="19"/>
  <c r="H62" i="19"/>
  <c r="G67" i="14"/>
  <c r="I57" i="19"/>
  <c r="T43" i="19"/>
  <c r="U16" i="19"/>
  <c r="T38" i="19"/>
  <c r="T39" i="19"/>
  <c r="T54" i="19"/>
  <c r="T56" i="19" s="1"/>
  <c r="T58" i="19"/>
  <c r="T59" i="19"/>
  <c r="T43" i="18"/>
  <c r="U16" i="18"/>
  <c r="T38" i="18"/>
  <c r="T39" i="18"/>
  <c r="T54" i="18"/>
  <c r="T56" i="18" s="1"/>
  <c r="T58" i="18"/>
  <c r="T59" i="18"/>
  <c r="L65" i="18"/>
  <c r="K49" i="15"/>
  <c r="M64" i="18"/>
  <c r="M62" i="18"/>
  <c r="N57" i="18"/>
  <c r="N61" i="18" s="1"/>
  <c r="L65" i="17"/>
  <c r="K48" i="15"/>
  <c r="M64" i="17"/>
  <c r="M62" i="17"/>
  <c r="R42" i="19"/>
  <c r="R44" i="19" s="1"/>
  <c r="R60" i="19"/>
  <c r="R66" i="19"/>
  <c r="R42" i="18"/>
  <c r="R44" i="18" s="1"/>
  <c r="R60" i="18"/>
  <c r="R66" i="18"/>
  <c r="S40" i="19"/>
  <c r="S40" i="18"/>
  <c r="G70" i="14" l="1"/>
  <c r="G52" i="15"/>
  <c r="G54" i="14"/>
  <c r="H65" i="19"/>
  <c r="G71" i="14" s="1"/>
  <c r="G68" i="14"/>
  <c r="G50" i="15"/>
  <c r="I61" i="19"/>
  <c r="H67" i="14" s="1"/>
  <c r="H63" i="14"/>
  <c r="U43" i="19"/>
  <c r="V16" i="19"/>
  <c r="U38" i="19"/>
  <c r="U39" i="19"/>
  <c r="U54" i="19"/>
  <c r="U56" i="19" s="1"/>
  <c r="U58" i="19"/>
  <c r="U59" i="19"/>
  <c r="U43" i="18"/>
  <c r="U38" i="18"/>
  <c r="U39" i="18"/>
  <c r="U54" i="18"/>
  <c r="U56" i="18" s="1"/>
  <c r="U58" i="18"/>
  <c r="U59" i="18"/>
  <c r="M65" i="18"/>
  <c r="L49" i="15"/>
  <c r="N64" i="18"/>
  <c r="N62" i="18"/>
  <c r="O57" i="18"/>
  <c r="O61" i="18" s="1"/>
  <c r="M65" i="17"/>
  <c r="L48" i="15"/>
  <c r="C18" i="15"/>
  <c r="S42" i="19"/>
  <c r="S44" i="19" s="1"/>
  <c r="S60" i="19"/>
  <c r="S66" i="19"/>
  <c r="S42" i="18"/>
  <c r="S44" i="18" s="1"/>
  <c r="S60" i="18"/>
  <c r="S66" i="18"/>
  <c r="T40" i="19"/>
  <c r="T40" i="18"/>
  <c r="I64" i="19" l="1"/>
  <c r="I62" i="19"/>
  <c r="J57" i="19"/>
  <c r="V43" i="19"/>
  <c r="W16" i="19"/>
  <c r="V38" i="19"/>
  <c r="V39" i="19"/>
  <c r="V54" i="19"/>
  <c r="V56" i="19" s="1"/>
  <c r="V58" i="19"/>
  <c r="V59" i="19"/>
  <c r="N65" i="18"/>
  <c r="M49" i="15"/>
  <c r="O64" i="18"/>
  <c r="O62" i="18"/>
  <c r="O65" i="18" s="1"/>
  <c r="P57" i="18"/>
  <c r="P61" i="18" s="1"/>
  <c r="C15" i="15"/>
  <c r="C14" i="15"/>
  <c r="N65" i="17"/>
  <c r="M48" i="15"/>
  <c r="T42" i="19"/>
  <c r="T44" i="19" s="1"/>
  <c r="T60" i="19"/>
  <c r="T66" i="19"/>
  <c r="T42" i="18"/>
  <c r="T44" i="18" s="1"/>
  <c r="T60" i="18"/>
  <c r="T66" i="18"/>
  <c r="U40" i="19"/>
  <c r="U40" i="18"/>
  <c r="D51" i="18" s="1"/>
  <c r="D13" i="15" s="1"/>
  <c r="H70" i="14" l="1"/>
  <c r="H52" i="15"/>
  <c r="I65" i="19"/>
  <c r="H71" i="14" s="1"/>
  <c r="H68" i="14"/>
  <c r="H50" i="15"/>
  <c r="J61" i="19"/>
  <c r="I67" i="14" s="1"/>
  <c r="I63" i="14"/>
  <c r="W43" i="19"/>
  <c r="X16" i="19"/>
  <c r="W38" i="19"/>
  <c r="W39" i="19"/>
  <c r="W54" i="19"/>
  <c r="W56" i="19" s="1"/>
  <c r="W58" i="19"/>
  <c r="W59" i="19"/>
  <c r="P64" i="18"/>
  <c r="P62" i="18"/>
  <c r="P65" i="18" s="1"/>
  <c r="Q57" i="18"/>
  <c r="Q61" i="18" s="1"/>
  <c r="C17" i="15"/>
  <c r="C16" i="15"/>
  <c r="C19" i="15" s="1"/>
  <c r="U42" i="19"/>
  <c r="U44" i="19" s="1"/>
  <c r="U60" i="19"/>
  <c r="U66" i="19"/>
  <c r="U42" i="18"/>
  <c r="U60" i="18"/>
  <c r="U66" i="18"/>
  <c r="V40" i="19"/>
  <c r="J64" i="19" l="1"/>
  <c r="J62" i="19"/>
  <c r="K57" i="19"/>
  <c r="K61" i="19" s="1"/>
  <c r="X43" i="19"/>
  <c r="Y16" i="19"/>
  <c r="X38" i="19"/>
  <c r="X39" i="19"/>
  <c r="X54" i="19"/>
  <c r="X56" i="19" s="1"/>
  <c r="X58" i="19"/>
  <c r="X59" i="19"/>
  <c r="Q64" i="18"/>
  <c r="Q62" i="18"/>
  <c r="Q65" i="18" s="1"/>
  <c r="R57" i="18"/>
  <c r="R61" i="18" s="1"/>
  <c r="C20" i="15"/>
  <c r="C21" i="15"/>
  <c r="D48" i="18"/>
  <c r="D47" i="18"/>
  <c r="D10" i="15" s="1"/>
  <c r="D39" i="14" s="1"/>
  <c r="V42" i="19"/>
  <c r="V44" i="19" s="1"/>
  <c r="V60" i="19"/>
  <c r="V66" i="19"/>
  <c r="W40" i="19"/>
  <c r="I70" i="14" l="1"/>
  <c r="I52" i="15"/>
  <c r="J65" i="19"/>
  <c r="I71" i="14" s="1"/>
  <c r="I68" i="14"/>
  <c r="I50" i="15"/>
  <c r="K64" i="19"/>
  <c r="J52" i="15" s="1"/>
  <c r="K62" i="19"/>
  <c r="L57" i="19"/>
  <c r="L61" i="19" s="1"/>
  <c r="Y43" i="19"/>
  <c r="Z16" i="19"/>
  <c r="Y38" i="19"/>
  <c r="Y39" i="19"/>
  <c r="Y54" i="19"/>
  <c r="Y56" i="19" s="1"/>
  <c r="Y58" i="19"/>
  <c r="Y59" i="19"/>
  <c r="R64" i="18"/>
  <c r="R62" i="18"/>
  <c r="R65" i="18" s="1"/>
  <c r="S57" i="18"/>
  <c r="S61" i="18" s="1"/>
  <c r="D50" i="18"/>
  <c r="D12" i="15" s="1"/>
  <c r="D11" i="15"/>
  <c r="D40" i="14" s="1"/>
  <c r="W42" i="19"/>
  <c r="W44" i="19" s="1"/>
  <c r="W60" i="19"/>
  <c r="W66" i="19"/>
  <c r="X40" i="19"/>
  <c r="K65" i="19" l="1"/>
  <c r="J50" i="15"/>
  <c r="L64" i="19"/>
  <c r="K52" i="15" s="1"/>
  <c r="L62" i="19"/>
  <c r="M57" i="19"/>
  <c r="M61" i="19" s="1"/>
  <c r="Z43" i="19"/>
  <c r="AA16" i="19"/>
  <c r="Z38" i="19"/>
  <c r="Z39" i="19"/>
  <c r="Z54" i="19"/>
  <c r="Z56" i="19" s="1"/>
  <c r="Z58" i="19"/>
  <c r="Z59" i="19"/>
  <c r="S64" i="18"/>
  <c r="S62" i="18"/>
  <c r="S65" i="18" s="1"/>
  <c r="T57" i="18"/>
  <c r="T61" i="18" s="1"/>
  <c r="X42" i="19"/>
  <c r="X44" i="19" s="1"/>
  <c r="X60" i="19"/>
  <c r="X66" i="19"/>
  <c r="Y40" i="19"/>
  <c r="L65" i="19" l="1"/>
  <c r="K50" i="15"/>
  <c r="M64" i="19"/>
  <c r="L52" i="15" s="1"/>
  <c r="M62" i="19"/>
  <c r="N57" i="19"/>
  <c r="N61" i="19" s="1"/>
  <c r="AA43" i="19"/>
  <c r="AB16" i="19"/>
  <c r="AA38" i="19"/>
  <c r="AA39" i="19"/>
  <c r="AA54" i="19"/>
  <c r="AA56" i="19" s="1"/>
  <c r="AA58" i="19"/>
  <c r="AA59" i="19"/>
  <c r="T64" i="18"/>
  <c r="T62" i="18"/>
  <c r="T65" i="18" s="1"/>
  <c r="U57" i="18"/>
  <c r="U61" i="18" s="1"/>
  <c r="Y42" i="19"/>
  <c r="Y44" i="19" s="1"/>
  <c r="Y60" i="19"/>
  <c r="Y66" i="19"/>
  <c r="Z40" i="19"/>
  <c r="M65" i="19" l="1"/>
  <c r="L50" i="15"/>
  <c r="N64" i="19"/>
  <c r="M52" i="15" s="1"/>
  <c r="N62" i="19"/>
  <c r="O57" i="19"/>
  <c r="O61" i="19" s="1"/>
  <c r="AB43" i="19"/>
  <c r="AC16" i="19"/>
  <c r="AB38" i="19"/>
  <c r="AB39" i="19"/>
  <c r="AB54" i="19"/>
  <c r="AB56" i="19" s="1"/>
  <c r="AB58" i="19"/>
  <c r="AB59" i="19"/>
  <c r="U64" i="18"/>
  <c r="D18" i="15" s="1"/>
  <c r="U62" i="18"/>
  <c r="Z42" i="19"/>
  <c r="Z44" i="19" s="1"/>
  <c r="Z60" i="19"/>
  <c r="Z66" i="19"/>
  <c r="AA40" i="19"/>
  <c r="N65" i="19" l="1"/>
  <c r="M50" i="15"/>
  <c r="O64" i="19"/>
  <c r="O62" i="19"/>
  <c r="O65" i="19" s="1"/>
  <c r="P57" i="19"/>
  <c r="P61" i="19" s="1"/>
  <c r="AC43" i="19"/>
  <c r="AD16" i="19"/>
  <c r="AC38" i="19"/>
  <c r="AC39" i="19"/>
  <c r="AC54" i="19"/>
  <c r="AC56" i="19" s="1"/>
  <c r="AC58" i="19"/>
  <c r="AC59" i="19"/>
  <c r="D15" i="15"/>
  <c r="D14" i="15"/>
  <c r="U65" i="18"/>
  <c r="AA42" i="19"/>
  <c r="AA44" i="19" s="1"/>
  <c r="AA60" i="19"/>
  <c r="AA66" i="19"/>
  <c r="AB40" i="19"/>
  <c r="P64" i="19" l="1"/>
  <c r="P62" i="19"/>
  <c r="P65" i="19" s="1"/>
  <c r="Q57" i="19"/>
  <c r="Q61" i="19" s="1"/>
  <c r="AD43" i="19"/>
  <c r="AE16" i="19"/>
  <c r="AD38" i="19"/>
  <c r="AD39" i="19"/>
  <c r="AD54" i="19"/>
  <c r="AD56" i="19" s="1"/>
  <c r="AD58" i="19"/>
  <c r="AD59" i="19"/>
  <c r="D17" i="15"/>
  <c r="D16" i="15"/>
  <c r="D19" i="15" s="1"/>
  <c r="AB42" i="19"/>
  <c r="AB44" i="19" s="1"/>
  <c r="AB60" i="19"/>
  <c r="AB66" i="19"/>
  <c r="AC40" i="19"/>
  <c r="Q64" i="19" l="1"/>
  <c r="Q62" i="19"/>
  <c r="Q65" i="19" s="1"/>
  <c r="R57" i="19"/>
  <c r="R61" i="19" s="1"/>
  <c r="AE43" i="19"/>
  <c r="AF16" i="19"/>
  <c r="AE38" i="19"/>
  <c r="AE39" i="19"/>
  <c r="AE54" i="19"/>
  <c r="AE56" i="19" s="1"/>
  <c r="AE58" i="19"/>
  <c r="AE59" i="19"/>
  <c r="D20" i="15"/>
  <c r="D21" i="15"/>
  <c r="AC42" i="19"/>
  <c r="AC44" i="19" s="1"/>
  <c r="AC60" i="19"/>
  <c r="AC66" i="19"/>
  <c r="AD40" i="19"/>
  <c r="R64" i="19" l="1"/>
  <c r="R62" i="19"/>
  <c r="R65" i="19" s="1"/>
  <c r="S57" i="19"/>
  <c r="AF43" i="19"/>
  <c r="AG16" i="19"/>
  <c r="AF38" i="19"/>
  <c r="AF39" i="19"/>
  <c r="AF54" i="19"/>
  <c r="AF56" i="19" s="1"/>
  <c r="AF58" i="19"/>
  <c r="AF59" i="19"/>
  <c r="AD42" i="19"/>
  <c r="AD44" i="19" s="1"/>
  <c r="AD60" i="19"/>
  <c r="AD66" i="19"/>
  <c r="AE40" i="19"/>
  <c r="S64" i="19" l="1"/>
  <c r="S62" i="19"/>
  <c r="S65" i="19" s="1"/>
  <c r="T57" i="19"/>
  <c r="T61" i="19" s="1"/>
  <c r="AG43" i="19"/>
  <c r="AG38" i="19"/>
  <c r="AG39" i="19"/>
  <c r="AG54" i="19"/>
  <c r="AG56" i="19" s="1"/>
  <c r="AG58" i="19"/>
  <c r="AG59" i="19"/>
  <c r="AE42" i="19"/>
  <c r="AE44" i="19" s="1"/>
  <c r="AE60" i="19"/>
  <c r="AE66" i="19"/>
  <c r="AF40" i="19"/>
  <c r="T64" i="19" l="1"/>
  <c r="T62" i="19"/>
  <c r="T65" i="19" s="1"/>
  <c r="U57" i="19"/>
  <c r="U61" i="19" s="1"/>
  <c r="AF42" i="19"/>
  <c r="AF44" i="19" s="1"/>
  <c r="AF60" i="19"/>
  <c r="AF66" i="19"/>
  <c r="AG40" i="19"/>
  <c r="U64" i="19" l="1"/>
  <c r="U62" i="19"/>
  <c r="U65" i="19" s="1"/>
  <c r="V57" i="19"/>
  <c r="V61" i="19" s="1"/>
  <c r="AG42" i="19"/>
  <c r="AG60" i="19"/>
  <c r="D51" i="19"/>
  <c r="E13" i="15" s="1"/>
  <c r="AG66" i="19"/>
  <c r="V64" i="19" l="1"/>
  <c r="V62" i="19"/>
  <c r="V65" i="19" s="1"/>
  <c r="W57" i="19"/>
  <c r="W61" i="19" s="1"/>
  <c r="D48" i="19"/>
  <c r="AG44" i="19"/>
  <c r="D47" i="19" s="1"/>
  <c r="E10" i="15" s="1"/>
  <c r="E39" i="14" s="1"/>
  <c r="W64" i="19" l="1"/>
  <c r="W62" i="19"/>
  <c r="W65" i="19" s="1"/>
  <c r="X57" i="19"/>
  <c r="X61" i="19" s="1"/>
  <c r="E11" i="15"/>
  <c r="E40" i="14" s="1"/>
  <c r="D50" i="19"/>
  <c r="E12" i="15" s="1"/>
  <c r="B42" i="15"/>
  <c r="X64" i="19" l="1"/>
  <c r="X62" i="19"/>
  <c r="X65" i="19" s="1"/>
  <c r="Y57" i="19"/>
  <c r="Y61" i="19" s="1"/>
  <c r="Y64" i="19" l="1"/>
  <c r="Y62" i="19"/>
  <c r="Y65" i="19" s="1"/>
  <c r="Z57" i="19"/>
  <c r="Z61" i="19" s="1"/>
  <c r="Z64" i="19" l="1"/>
  <c r="Z62" i="19"/>
  <c r="Z65" i="19" s="1"/>
  <c r="AA57" i="19"/>
  <c r="AA61" i="19" s="1"/>
  <c r="AA64" i="19" l="1"/>
  <c r="AA62" i="19"/>
  <c r="AA65" i="19" s="1"/>
  <c r="AB57" i="19"/>
  <c r="AB61" i="19" s="1"/>
  <c r="AB64" i="19" l="1"/>
  <c r="AB62" i="19"/>
  <c r="AB65" i="19" s="1"/>
  <c r="AC57" i="19"/>
  <c r="AC61" i="19" s="1"/>
  <c r="AC64" i="19" l="1"/>
  <c r="AC62" i="19"/>
  <c r="AC65" i="19" s="1"/>
  <c r="AD57" i="19"/>
  <c r="AD61" i="19" s="1"/>
  <c r="AD64" i="19" l="1"/>
  <c r="AD62" i="19"/>
  <c r="AD65" i="19" s="1"/>
  <c r="AE57" i="19"/>
  <c r="AE61" i="19" s="1"/>
  <c r="AE64" i="19" l="1"/>
  <c r="AE62" i="19"/>
  <c r="AE65" i="19" s="1"/>
  <c r="AF57" i="19"/>
  <c r="AF61" i="19" s="1"/>
  <c r="AF64" i="19" l="1"/>
  <c r="AF62" i="19"/>
  <c r="AF65" i="19" s="1"/>
  <c r="AG57" i="19"/>
  <c r="AG61" i="19" s="1"/>
  <c r="AG64" i="19" l="1"/>
  <c r="E18" i="15" s="1"/>
  <c r="AG62" i="19"/>
  <c r="B75" i="14" l="1"/>
  <c r="B41" i="15"/>
  <c r="E14" i="15"/>
  <c r="E15" i="15"/>
  <c r="AG65" i="19"/>
  <c r="E16" i="15" s="1"/>
  <c r="E19" i="15" s="1"/>
  <c r="E20" i="15" l="1"/>
  <c r="C14" i="14" s="1"/>
  <c r="E21" i="15"/>
  <c r="C13" i="14"/>
  <c r="B40" i="15"/>
  <c r="C15" i="14" l="1"/>
  <c r="C16" i="14"/>
  <c r="B76"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<sst xmlns="http://schemas.openxmlformats.org/spreadsheetml/2006/main" count="801" uniqueCount="493">
  <si>
    <t>Exhibit 1 - Project Assumptions</t>
  </si>
  <si>
    <t>Assumption</t>
  </si>
  <si>
    <t>Value</t>
  </si>
  <si>
    <t>Unit</t>
  </si>
  <si>
    <t>Comments</t>
  </si>
  <si>
    <t>All Projects</t>
  </si>
  <si>
    <t>Corporate Tax Rate</t>
  </si>
  <si>
    <t>Risk Free Rate</t>
  </si>
  <si>
    <t>Equity Risk Premium</t>
  </si>
  <si>
    <t>Project Bison - Frontera</t>
  </si>
  <si>
    <t>Development Cost</t>
  </si>
  <si>
    <t>$ (billions)</t>
  </si>
  <si>
    <t>Split ratably over development years</t>
  </si>
  <si>
    <t>Production Royalty and Government Take</t>
  </si>
  <si>
    <t>% of Total Revenue</t>
  </si>
  <si>
    <t>Direct Operating Expense</t>
  </si>
  <si>
    <t>USD/BOE</t>
  </si>
  <si>
    <t>Overhead Expense</t>
  </si>
  <si>
    <t>Fin. Book Depreciation</t>
  </si>
  <si>
    <t>Years</t>
  </si>
  <si>
    <t>Midstream Expense</t>
  </si>
  <si>
    <t>Undiscounted Decommissioning Cost</t>
  </si>
  <si>
    <t>MMUSD</t>
  </si>
  <si>
    <t>Time to Production</t>
  </si>
  <si>
    <t>Production starts in Year 2</t>
  </si>
  <si>
    <t>Project Fennec - Tassili</t>
  </si>
  <si>
    <t>Production starts in Year 4</t>
  </si>
  <si>
    <t>Project Puma - Amazonia</t>
  </si>
  <si>
    <t>Production starts in Year 6</t>
  </si>
  <si>
    <t>Notes</t>
  </si>
  <si>
    <t>1. Assume depreciation starts in the first production year and ends in the last production year</t>
  </si>
  <si>
    <t>Exhibit 2 - NorthStar Energy Financial Statements</t>
  </si>
  <si>
    <t>Consolidated Statement of Income</t>
  </si>
  <si>
    <t>In Millions of USD</t>
  </si>
  <si>
    <t>Oil Revenue</t>
  </si>
  <si>
    <t>Natural Gas Revenue</t>
  </si>
  <si>
    <t>Natural Gas Liquids Revenue</t>
  </si>
  <si>
    <t>Total Revenue</t>
  </si>
  <si>
    <t>Operating Expenses</t>
  </si>
  <si>
    <t>Exploration</t>
  </si>
  <si>
    <t>General and Administrative Expenses</t>
  </si>
  <si>
    <t>Depreciation Depletion And Amortization</t>
  </si>
  <si>
    <t>Other Operating Expenses</t>
  </si>
  <si>
    <t>Impairments</t>
  </si>
  <si>
    <t xml:space="preserve"> -  </t>
  </si>
  <si>
    <t>Total Operating Expenses</t>
  </si>
  <si>
    <t>Operating Income</t>
  </si>
  <si>
    <t>Interest Expense</t>
  </si>
  <si>
    <t>Income Before Income Taxes</t>
  </si>
  <si>
    <t>Income Tax Expense</t>
  </si>
  <si>
    <t>Net Income</t>
  </si>
  <si>
    <t>Consolidated Balance Sheet</t>
  </si>
  <si>
    <t>Current Assets</t>
  </si>
  <si>
    <t>Cash and Equivalents</t>
  </si>
  <si>
    <t>Inventory</t>
  </si>
  <si>
    <t>Accounts Receivable</t>
  </si>
  <si>
    <t>Pre-Paid Expenses, &amp; Other</t>
  </si>
  <si>
    <t>Total Current Assets</t>
  </si>
  <si>
    <t>Non-Current Assets</t>
  </si>
  <si>
    <t>Property Plant &amp; Equipment - Net</t>
  </si>
  <si>
    <t>Other Non-Current Assets</t>
  </si>
  <si>
    <t>Total Assets</t>
  </si>
  <si>
    <t>Current Liabilities</t>
  </si>
  <si>
    <t>Accrued Expenses</t>
  </si>
  <si>
    <t>Accounts Payable - Trade</t>
  </si>
  <si>
    <t>Current Portion of LT Debt</t>
  </si>
  <si>
    <t>Total Current Liabilities</t>
  </si>
  <si>
    <t>Non Current Liabilities</t>
  </si>
  <si>
    <t>Long Term Debt</t>
  </si>
  <si>
    <t>Deferred Income Taxes (Liabilities)</t>
  </si>
  <si>
    <t>Asset Retirement Obligation</t>
  </si>
  <si>
    <t>Total Long Term Liabilities</t>
  </si>
  <si>
    <t>Total Shareholders Equity</t>
  </si>
  <si>
    <t>Consolidated Statement of Cash Flows</t>
  </si>
  <si>
    <t>Cash From Operating Activities</t>
  </si>
  <si>
    <t>Net Income - CF</t>
  </si>
  <si>
    <t>Change in WC</t>
  </si>
  <si>
    <t>Cash from Operating Activities</t>
  </si>
  <si>
    <t>Cash From Investing Activities</t>
  </si>
  <si>
    <t>Capital Expenditures and Investments</t>
  </si>
  <si>
    <t>Drilling and Development Capital Expenditures</t>
  </si>
  <si>
    <t>Disposition of Oil and Gas properties</t>
  </si>
  <si>
    <t>Total Cash Flows From Investing</t>
  </si>
  <si>
    <t>Cash From Financing Activities</t>
  </si>
  <si>
    <t>Dividends Paid</t>
  </si>
  <si>
    <t>Net Change in Debt</t>
  </si>
  <si>
    <t>Issuance (Repurchase) of common stock</t>
  </si>
  <si>
    <t>Total Cash Flows From Financing</t>
  </si>
  <si>
    <t>Net Change In Cash</t>
  </si>
  <si>
    <t>Cash and Cash Equivalents (Beg of Period)</t>
  </si>
  <si>
    <t>Cash and Cash Equivalents (End of Period)</t>
  </si>
  <si>
    <t>Net Debt (MMUSD)</t>
  </si>
  <si>
    <t>Interest Rate</t>
  </si>
  <si>
    <t>Unadjusted. EBITDA (MMUSD)</t>
  </si>
  <si>
    <t>Adj. EBITDA (MMUSD)</t>
  </si>
  <si>
    <t>Net Debt/Adj. EBITDA</t>
  </si>
  <si>
    <t>1.88x</t>
  </si>
  <si>
    <t>1.65x</t>
  </si>
  <si>
    <t>1.58x</t>
  </si>
  <si>
    <t>Other financial information</t>
  </si>
  <si>
    <t>Stock price as of Dec 31 (USD)</t>
  </si>
  <si>
    <t>Common shares outstanding (MM)</t>
  </si>
  <si>
    <t>Dividends per common share (USD)</t>
  </si>
  <si>
    <t>Exhibit 3 - NorthStar Energy Comparable Firms</t>
  </si>
  <si>
    <t>Company</t>
  </si>
  <si>
    <t>Stock Price (USD/share)</t>
  </si>
  <si>
    <t>Shares Outstanding</t>
  </si>
  <si>
    <t>Market Cap (MUSD)</t>
  </si>
  <si>
    <t>Total Debt (MUSD)</t>
  </si>
  <si>
    <t>Noncontrolling Interests 
(MUSD)</t>
  </si>
  <si>
    <t>Total EV 
(MUSD)</t>
  </si>
  <si>
    <t>Revenue
(MUSD)</t>
  </si>
  <si>
    <t>EBITDA 
(MUSD)</t>
  </si>
  <si>
    <t>EBIT
(MUSD)</t>
  </si>
  <si>
    <t>Net Income
(MUSD)</t>
  </si>
  <si>
    <t>Interest Expense (MUSD)</t>
  </si>
  <si>
    <t>Levered Equity Beta</t>
  </si>
  <si>
    <t>LTM</t>
  </si>
  <si>
    <t>Company A</t>
  </si>
  <si>
    <t>Company B</t>
  </si>
  <si>
    <t>Company C</t>
  </si>
  <si>
    <t>Company D</t>
  </si>
  <si>
    <t>Company E</t>
  </si>
  <si>
    <t>Company F</t>
  </si>
  <si>
    <t>Company G</t>
  </si>
  <si>
    <t>Company H</t>
  </si>
  <si>
    <t>Company I</t>
  </si>
  <si>
    <t>Company J</t>
  </si>
  <si>
    <t xml:space="preserve"> NA </t>
  </si>
  <si>
    <t>Company K</t>
  </si>
  <si>
    <t>Note:</t>
  </si>
  <si>
    <t>MUSD = thousands USD</t>
  </si>
  <si>
    <t>Exhibit 4 - Unweighted Geographical Risk Premium (GRP)</t>
  </si>
  <si>
    <t xml:space="preserve"> </t>
  </si>
  <si>
    <t>Region</t>
  </si>
  <si>
    <t>GRP</t>
  </si>
  <si>
    <t>Frontera</t>
  </si>
  <si>
    <t>Amazonia</t>
  </si>
  <si>
    <t>Tassili</t>
  </si>
  <si>
    <t>Exhibit 5 - Project Bison Production Projections</t>
  </si>
  <si>
    <t>Production</t>
  </si>
  <si>
    <t>Units</t>
  </si>
  <si>
    <t>Oil Equivalent</t>
  </si>
  <si>
    <t>MBOED</t>
  </si>
  <si>
    <t>Crude</t>
  </si>
  <si>
    <t>MBD</t>
  </si>
  <si>
    <t>Nat Gas</t>
  </si>
  <si>
    <t>MMSCFD</t>
  </si>
  <si>
    <t>NGL</t>
  </si>
  <si>
    <t>Exhibit 6 - Project Fennec Production Projections</t>
  </si>
  <si>
    <t>Exhibit 7 - Project Puma Production Projections</t>
  </si>
  <si>
    <t>Exhibit 8 - Disaggregated Production by Project</t>
  </si>
  <si>
    <t>Source</t>
  </si>
  <si>
    <t>Composition</t>
  </si>
  <si>
    <t>Product Type</t>
  </si>
  <si>
    <t>Bison</t>
  </si>
  <si>
    <t>%</t>
  </si>
  <si>
    <t xml:space="preserve">Natural Gas </t>
  </si>
  <si>
    <t>Fennec</t>
  </si>
  <si>
    <t>Puma</t>
  </si>
  <si>
    <t>1. Percentages are shown as % of Total BOE</t>
  </si>
  <si>
    <t>2. Oil-equivalent conversion ratio: 6,000 cubic feet of natural gas = 1 barrel of crude oil</t>
  </si>
  <si>
    <t>3. Natural gas heating value: 1 MMSCF = 1028 MMBTU</t>
  </si>
  <si>
    <t>4. Assume 1 BOE of NGLs = 1 BBL of NGLs</t>
  </si>
  <si>
    <t>Exhibit 9 - Price Curves by Market</t>
  </si>
  <si>
    <t>Market Benchmark</t>
  </si>
  <si>
    <t>Type of Product</t>
  </si>
  <si>
    <t>WTI</t>
  </si>
  <si>
    <t xml:space="preserve">Crude </t>
  </si>
  <si>
    <t>USD/BBL</t>
  </si>
  <si>
    <t>Henry Hub</t>
  </si>
  <si>
    <t xml:space="preserve">Natural gas </t>
  </si>
  <si>
    <t>Frontera/Amazonia</t>
  </si>
  <si>
    <t>USD/MMBTU</t>
  </si>
  <si>
    <t>OPIS</t>
  </si>
  <si>
    <t>Natural gas liquids</t>
  </si>
  <si>
    <t>Brent</t>
  </si>
  <si>
    <t>Tassili/Amazonia</t>
  </si>
  <si>
    <t>TTF</t>
  </si>
  <si>
    <t>Europe (OPIS+3)</t>
  </si>
  <si>
    <t>Exhibit 10 - Carbon Targets</t>
  </si>
  <si>
    <t>Carbon Intensity</t>
  </si>
  <si>
    <t>kgCO2e/boe</t>
  </si>
  <si>
    <t>Exhibit 11 - Common Abbreviations</t>
  </si>
  <si>
    <t>Abbreviation</t>
  </si>
  <si>
    <t>Definition</t>
  </si>
  <si>
    <t>BBL</t>
  </si>
  <si>
    <t>Barrels</t>
  </si>
  <si>
    <t>BOE</t>
  </si>
  <si>
    <t>Barrels of oil equivalent</t>
  </si>
  <si>
    <t>BOED</t>
  </si>
  <si>
    <t>Barrels of oil equivalent per day</t>
  </si>
  <si>
    <t>BTU</t>
  </si>
  <si>
    <t>British thermal units</t>
  </si>
  <si>
    <t>kgCO2e</t>
  </si>
  <si>
    <t>Kilograms of carbon dioxide equivalent</t>
  </si>
  <si>
    <t>Thousands of barrels of oil equivalent per day</t>
  </si>
  <si>
    <t>MMBTU</t>
  </si>
  <si>
    <t>Millions of British thermal units</t>
  </si>
  <si>
    <t>Millions of standard cubic feet per day</t>
  </si>
  <si>
    <t>Millions of US dollars</t>
  </si>
  <si>
    <t>MTCO2e</t>
  </si>
  <si>
    <t>Metric tons of carbon dioxide equivalent</t>
  </si>
  <si>
    <t>MUSD</t>
  </si>
  <si>
    <t>Thousands of US dollars</t>
  </si>
  <si>
    <t>SCFD</t>
  </si>
  <si>
    <t>Standard cubic feet per day</t>
  </si>
  <si>
    <t>USD</t>
  </si>
  <si>
    <t>US dollars</t>
  </si>
  <si>
    <t>Exhibit 12- Debt Capacity Assumptions</t>
  </si>
  <si>
    <t>Assumptions</t>
  </si>
  <si>
    <t>Baseline Adj. EBITDA Growth Rate</t>
  </si>
  <si>
    <t>Baseline Free Cash Flow Growth Rate</t>
  </si>
  <si>
    <t>Dividend Growth Rate</t>
  </si>
  <si>
    <t>Base Free Cash Flow before Dividend and Share Repurchases (2027, MMUSD)</t>
  </si>
  <si>
    <t>Leverage Ceiling (Net Debt / Adj. EBITDA)</t>
  </si>
  <si>
    <t>1.75x</t>
  </si>
  <si>
    <t xml:space="preserve">To simplify the leverage capacity forecast, assume that NorthStar does not repurchase shares after 2026. </t>
  </si>
  <si>
    <t>Leverage Analysis</t>
  </si>
  <si>
    <t>Dividend (2026)</t>
  </si>
  <si>
    <t>Beginning Adj. EBITDA (2026)</t>
  </si>
  <si>
    <t>Ending Net Debt (2026)</t>
  </si>
  <si>
    <t>Leverage Ceiling</t>
  </si>
  <si>
    <t>Year</t>
  </si>
  <si>
    <t>Baseline Adj. EBITDA</t>
  </si>
  <si>
    <t>+Project EBITDA</t>
  </si>
  <si>
    <t>Total Adj. EBITDA</t>
  </si>
  <si>
    <t>Beginning Net Debt</t>
  </si>
  <si>
    <t>- Base Free Cash Flow (before dividend)</t>
  </si>
  <si>
    <t>+ Dividends Paid</t>
  </si>
  <si>
    <t>- Project Unlevered FCF</t>
  </si>
  <si>
    <t>Ending Net Debt</t>
  </si>
  <si>
    <t>Net Debt / Adj. EBITDA</t>
  </si>
  <si>
    <t>Ceiling</t>
  </si>
  <si>
    <t>Guide: how the numbers were made, and why Puma does not pass</t>
  </si>
  <si>
    <t>Read top to bottom. Every number here is a live link to the Puma DCF tab, which links to the case exhibits. Dollars in millions unless noted. Red = a failed test.</t>
  </si>
  <si>
    <t>Step 1.  The production point is fair: Puma really does produce a lot</t>
  </si>
  <si>
    <t>Peak production (MBOED): Puma | Bison | Fennec</t>
  </si>
  <si>
    <t>Puma is 4x Bison and 2x Fennec at peak. Source: Exhibits 5, 6, 7.</t>
  </si>
  <si>
    <t>Puma average over its 25 producing years (MBOED)</t>
  </si>
  <si>
    <t>Flat at 300 from 2032 to 2040, then a slow decline to about 255 by 2056.</t>
  </si>
  <si>
    <t>Puma production in 2027 to 2031 (MBOED, total)</t>
  </si>
  <si>
    <t>Zero for the first five years.</t>
  </si>
  <si>
    <t>Puma capex spent in those same five years</t>
  </si>
  <si>
    <t>Development cost spread evenly over five years (Exhibit 1). Nothing comes back until 2032.</t>
  </si>
  <si>
    <t>So the claim is right: production is near 300 for most of Puma's life. The case just does not ask which project produces the most. It asks the two questions in Step 2, and it asks them every year starting in 2027.</t>
  </si>
  <si>
    <t>Step 2.  What the case actually tests, in this order</t>
  </si>
  <si>
    <t>Test</t>
  </si>
  <si>
    <t>Puma result</t>
  </si>
  <si>
    <t>Rule and where in the case</t>
  </si>
  <si>
    <t>1. Leverage ceiling (hard)</t>
  </si>
  <si>
    <t>Net debt / Adj. EBITDA at or below 1.75x in EVERY year. Case p.2 and p.6, Exhibit 12.</t>
  </si>
  <si>
    <t>2. Dividend growth (hard)</t>
  </si>
  <si>
    <t>Total dividend +5% every year, no new equity. Any gap is funded with debt, so the debt must stay under the ceiling. Case p.2 and p.7.</t>
  </si>
  <si>
    <t>3. Only then: weigh the rest</t>
  </si>
  <si>
    <t>Returns, risk, capital discipline, carbon, production growth. Production growth is the lowest investor priority at 5% (case p.6).</t>
  </si>
  <si>
    <t>Result</t>
  </si>
  <si>
    <t>Case p.6-7: a project that cannot clear both constraints "cannot be recommended, no matter how high its standalone value".</t>
  </si>
  <si>
    <t>Step 3.  How Puma's cash flow is built (live from the Puma DCF tab)</t>
  </si>
  <si>
    <t>Line</t>
  </si>
  <si>
    <t>2027 (build year)</t>
  </si>
  <si>
    <t>2032 (first production)</t>
  </si>
  <si>
    <t>How it is calculated</t>
  </si>
  <si>
    <t>Production (MBOED)</t>
  </si>
  <si>
    <t>Annual volume (million boe)</t>
  </si>
  <si>
    <t>Crude revenue</t>
  </si>
  <si>
    <t>Gas revenue</t>
  </si>
  <si>
    <t>NGL revenue</t>
  </si>
  <si>
    <t>Total revenue</t>
  </si>
  <si>
    <t>Royalty and government take</t>
  </si>
  <si>
    <t>Opex + overhead + midstream</t>
  </si>
  <si>
    <t>EBITDA</t>
  </si>
  <si>
    <t>Depreciation</t>
  </si>
  <si>
    <t>Income tax</t>
  </si>
  <si>
    <t>Development capex</t>
  </si>
  <si>
    <t>Unlevered free cash flow</t>
  </si>
  <si>
    <t>Carbon cost (valuation only)</t>
  </si>
  <si>
    <t>Free cash flow for valuation</t>
  </si>
  <si>
    <t>In the 2027 column nothing is produced, so the only cash flow is the 3,000 of capex. That pattern repeats every year to 2031.</t>
  </si>
  <si>
    <t>Step 4.  Is Puma worth doing on its own? Yes, and that is why it looks attractive</t>
  </si>
  <si>
    <t>NPV with carbon</t>
  </si>
  <si>
    <t>Puma has the largest NPV, because of its scale and 25 years of production.</t>
  </si>
  <si>
    <t>IRR with carbon</t>
  </si>
  <si>
    <t>It also has the lowest IRR: the value comes from size, not from returns on capital.</t>
  </si>
  <si>
    <t>WACC used</t>
  </si>
  <si>
    <t>A positive NPV is necessary but not sufficient. The case says the two hard tests come first.</t>
  </si>
  <si>
    <t>Step 5.  Can NorthStar afford it? Puma's borrowing need against NorthStar's borrowing room</t>
  </si>
  <si>
    <t>Build years only (2027 to 2031), when Puma earns nothing: the test reduces to "can NorthStar add this much debt and stay under 1.75x?"</t>
  </si>
  <si>
    <t>Baseline Adj. EBITDA (no project)</t>
  </si>
  <si>
    <t>Exhibit 2 EBITDA grown 3% a year</t>
  </si>
  <si>
    <t>Most net debt allowed at 1.75x</t>
  </si>
  <si>
    <t>1.75 x baseline EBITDA</t>
  </si>
  <si>
    <t>Net debt with NO project (dividends rising 5%, base cash flow)</t>
  </si>
  <si>
    <t>Start 24,318; less base FCF; plus dividends</t>
  </si>
  <si>
    <t>Borrowing room</t>
  </si>
  <si>
    <t>Max net debt less net debt with no project</t>
  </si>
  <si>
    <t>Puma cash drain so far (cumulative capex)</t>
  </si>
  <si>
    <t>Puma's free cash flow is negative capex in these years</t>
  </si>
  <si>
    <t>Room left (negative = over the ceiling)</t>
  </si>
  <si>
    <t>Room / drain (below 1.0 = over)</t>
  </si>
  <si>
    <t>Check: room left equals headroom on the Puma DCF tab (should be 0 in each year)</t>
  </si>
  <si>
    <t>The full leverage test for Puma (case template), 2027 to 2033</t>
  </si>
  <si>
    <t>Grows 3% a year</t>
  </si>
  <si>
    <t>+ Project EBITDA</t>
  </si>
  <si>
    <t>Zero until 2032</t>
  </si>
  <si>
    <t>Beginning net debt</t>
  </si>
  <si>
    <t>2027 starts at 24,318</t>
  </si>
  <si>
    <t>- Base free cash flow before dividend</t>
  </si>
  <si>
    <t>1,600 in 2027, +3% a year</t>
  </si>
  <si>
    <t>+ Dividends paid</t>
  </si>
  <si>
    <t>1,098 in 2026, +5% a year</t>
  </si>
  <si>
    <t>- Project unlevered FCF</t>
  </si>
  <si>
    <t>Negative while Puma is being built</t>
  </si>
  <si>
    <t>Ending net debt</t>
  </si>
  <si>
    <t>Beginning - base FCF + dividends - project FCF</t>
  </si>
  <si>
    <t>Net debt / Adj. EBITDA</t>
  </si>
  <si>
    <t>Ending net debt / total EBITDA</t>
  </si>
  <si>
    <t>Exhibit 12</t>
  </si>
  <si>
    <t>Headroom</t>
  </si>
  <si>
    <t>1.75 x total EBITDA - ending net debt</t>
  </si>
  <si>
    <t>Status</t>
  </si>
  <si>
    <t>Step 6.  The verdict</t>
  </si>
  <si>
    <t>Where to go next: Summary (side by side, chart, case benchmarks) | WACC &amp; Inputs (discount rate and switches) | Puma DCF (every year, every line).</t>
  </si>
  <si>
    <t>Why Puma doesn't work: what the case actually tests</t>
  </si>
  <si>
    <t>Everything below pulls from the project tabs, which pull from the case exhibits. Change the switches on the WACC &amp; Inputs tab and this page updates. New to this? Start with the Guide tab.</t>
  </si>
  <si>
    <t>1. Side by side</t>
  </si>
  <si>
    <t>What it tells you</t>
  </si>
  <si>
    <t>Development capex ($B)</t>
  </si>
  <si>
    <t>First production year</t>
  </si>
  <si>
    <t>Puma: five years of spending before any revenue</t>
  </si>
  <si>
    <t>Peak production (MBOED)  &lt;-- the number the team is focused on</t>
  </si>
  <si>
    <t>Size is not a test in the case (see section 2)</t>
  </si>
  <si>
    <t>Lifetime volume (MM boe)</t>
  </si>
  <si>
    <t>Set by the country-risk switch on WACC &amp; Inputs</t>
  </si>
  <si>
    <t>NPV with carbon ($MM)</t>
  </si>
  <si>
    <t>Puma is worth the most on paper...</t>
  </si>
  <si>
    <t>...but earns the lowest return on its capital</t>
  </si>
  <si>
    <t>IRR minus WACC</t>
  </si>
  <si>
    <t>NPV before carbon ($MM)</t>
  </si>
  <si>
    <t>Carbon at $75/t trims NPV but changes no ranking</t>
  </si>
  <si>
    <t>Peak net debt / Adj. EBITDA (ceiling 1.75x)</t>
  </si>
  <si>
    <t>Year of peak</t>
  </si>
  <si>
    <t>Years above the ceiling</t>
  </si>
  <si>
    <t>First year above the ceiling</t>
  </si>
  <si>
    <t>Tightest headroom ($MM; negative = over the ceiling)</t>
  </si>
  <si>
    <t>Net debt the ceiling still allows in the worst year</t>
  </si>
  <si>
    <t>HARD TEST 1: leverage at or below 1.75x in every year</t>
  </si>
  <si>
    <t>HARD TEST 2: dividend +5%/yr, no new equity (gap funded by debt)</t>
  </si>
  <si>
    <t>Debt funding is only allowed up to the ceiling</t>
  </si>
  <si>
    <t>RESULT</t>
  </si>
  <si>
    <t>Case p.3: constraints first, then weigh the rest</t>
  </si>
  <si>
    <t>2. What the case says you must hit</t>
  </si>
  <si>
    <t>Benchmark</t>
  </si>
  <si>
    <t>Type</t>
  </si>
  <si>
    <t>Where in the case</t>
  </si>
  <si>
    <t>Net debt / Adj. EBITDA at or below 1.75x in EVERY year</t>
  </si>
  <si>
    <t>HARD</t>
  </si>
  <si>
    <t>Case p.2 and p.6; ceiling in Exhibit 12. "A firm cap ... not a soft target."</t>
  </si>
  <si>
    <t>Total cash dividend spend grows 5% every year, no new equity</t>
  </si>
  <si>
    <t>Case p.2 and p.7. Any shortfall is funded with debt.</t>
  </si>
  <si>
    <t>Only after both pass: weigh returns, risk, capital discipline, carbon</t>
  </si>
  <si>
    <t>WEIGH</t>
  </si>
  <si>
    <t>Case p.3: "must first satisfy both firm constraints ... before weighing the remaining tradeoffs"</t>
  </si>
  <si>
    <t>Carbon intensity from ~18 toward 15 kg CO2e/boe by 2035</t>
  </si>
  <si>
    <t>STRATEGIC</t>
  </si>
  <si>
    <t>Case p.2: an ambition to be weighed, not a pass/fail test</t>
  </si>
  <si>
    <t>Total production or reserve size</t>
  </si>
  <si>
    <t>NOT A BENCHMARK</t>
  </si>
  <si>
    <t>No minimum production or reserve target appears anywhere in the case</t>
  </si>
  <si>
    <t>Investor priorities (case p.6 survey chart)</t>
  </si>
  <si>
    <t>Weight</t>
  </si>
  <si>
    <t>Dividend growth</t>
  </si>
  <si>
    <t>Read from the pie chart on case p.6 (typed in; check against the PDF)</t>
  </si>
  <si>
    <t>Risk-adjusted returns</t>
  </si>
  <si>
    <t>Capital discipline</t>
  </si>
  <si>
    <t>Carbon intensity</t>
  </si>
  <si>
    <t>Production growth</t>
  </si>
  <si>
    <t>Lowest of the five priorities, so production size is a tie-breaker at most, never a reason to override a hard constraint</t>
  </si>
  <si>
    <t>3. What doesn't add up for Puma</t>
  </si>
  <si>
    <t>6. The case says it directly: a project that cannot clear both constraints "cannot be recommended, no matter how high its standalone value" (case p.6-7).</t>
  </si>
  <si>
    <t>4. Year-by-year leverage (red = above the ceiling)</t>
  </si>
  <si>
    <t>Bison: net debt / Adj. EBITDA</t>
  </si>
  <si>
    <t>Fennec: net debt / Adj. EBITDA</t>
  </si>
  <si>
    <t>Puma: net debt / Adj. EBITDA</t>
  </si>
  <si>
    <t>Puma headroom ($MM; negative = over)</t>
  </si>
  <si>
    <t>5. Assumptions and simplifications (so nobody is surprised)</t>
  </si>
  <si>
    <t>Cash flows are discounted at year-end; 2027 is year 1. Model starts Jan 1, 2027, in real terms (case p.7).</t>
  </si>
  <si>
    <t>Revenue = annual boe x product share (Exhibit 8) x price (Exhibit 9). Gas is converted at 6 mcf per boe and 1.028 MMBtu per mcf (Exhibit 8 notes).</t>
  </si>
  <si>
    <t>WACC: CAPM with the average unlevered beta of the Exhibit 3 comps (Companies I and J excluded, debt/equity above 4x), re-levered at NorthStar's debt/equity. Same 5.66% cost of debt for all projects.</t>
  </si>
  <si>
    <t>Country risk (Exhibit 4): default adds it to cost of equity only. The case does not say where it goes, so a switch on WACC &amp; Inputs lets you test the whole-WACC reading. Puma fails the leverage test either way.</t>
  </si>
  <si>
    <t>Leverage follows the case template: baseline EBITDA and free cash flow are fixed, and no interest is charged on project debt. Adding that interest makes Puma worse (peak about 2.17x).</t>
  </si>
  <si>
    <t>Project EBITDA excludes carbon and decommissioning. Carbon ($75/t) is deducted for valuation only, never in the leverage test (case p.7).</t>
  </si>
  <si>
    <t>Dividends: 2026 dividends paid ($1,098M) grown 5% a year. "Dividend coverage" on each project tab is (baseline FCF + project FCF) / dividend; below 1.0x means debt is funding part of the dividend, which the case allows within the ceiling.</t>
  </si>
  <si>
    <t>WACC &amp; Inputs</t>
  </si>
  <si>
    <t>Green = linked to a case exhibit · Blue = typed input (source noted) · Yellow = switch your team can flip · Black = formula</t>
  </si>
  <si>
    <t>Inputs taken from the case text / exhibit notes</t>
  </si>
  <si>
    <t>Internal carbon price ($ per tonne CO2e)</t>
  </si>
  <si>
    <t>Case p.2 &amp; p.5: "$75 per metric ton". Valuation only: not tax-deductible, not in leverage test.</t>
  </si>
  <si>
    <t>Gas conversion (mcf per boe)</t>
  </si>
  <si>
    <t>Exhibit 8 note 2: 6,000 cubic feet = 1 boe</t>
  </si>
  <si>
    <t>MMBtu per mcf</t>
  </si>
  <si>
    <t>Exhibit 8 note 3: 1 MMSCF = 1,028 MMBtu</t>
  </si>
  <si>
    <t>Days per year</t>
  </si>
  <si>
    <t>Simplification (no leap years)</t>
  </si>
  <si>
    <t>Leverage ceiling (Net debt / Adj. EBITDA)</t>
  </si>
  <si>
    <t>Exhibit 12 (stored there as text "1.75x")</t>
  </si>
  <si>
    <t>Country-risk method: 1 = equity-only, 2 = whole-WACC</t>
  </si>
  <si>
    <t>Exhibit 4 says "unweighted" without saying where it goes. Flip to 2 to see the other reading.</t>
  </si>
  <si>
    <t>Corporate tax rate</t>
  </si>
  <si>
    <t>Exhibit 1</t>
  </si>
  <si>
    <t>Comparable firm (Exhibit 3)</t>
  </si>
  <si>
    <t>Levered beta</t>
  </si>
  <si>
    <t>Total debt ($000)</t>
  </si>
  <si>
    <t>Market cap ($000)</t>
  </si>
  <si>
    <t>Debt / equity</t>
  </si>
  <si>
    <t>Unlevered beta</t>
  </si>
  <si>
    <t>Include? (1/0)</t>
  </si>
  <si>
    <t>Note</t>
  </si>
  <si>
    <t>Excluded: debt/equity so high that the unlevering formula is unreliable</t>
  </si>
  <si>
    <t>Exhibit 3 note: "MUSD = thousands USD" - so these columns are in thousands of dollars.</t>
  </si>
  <si>
    <t>Average unlevered beta (included comps)</t>
  </si>
  <si>
    <t>NorthStar capital structure and base WACC</t>
  </si>
  <si>
    <t>Equity market value ($MM)</t>
  </si>
  <si>
    <t>Stock price x shares, 2026 (Exhibit 2)</t>
  </si>
  <si>
    <t>Total debt ($MM)</t>
  </si>
  <si>
    <t>Current + long-term debt, 2026 (Exhibit 2)</t>
  </si>
  <si>
    <t>Debt / (debt + equity)</t>
  </si>
  <si>
    <t>Equity / (debt + equity)</t>
  </si>
  <si>
    <t>Relevered beta</t>
  </si>
  <si>
    <t>Unlevered average re-levered at NorthStar D/E</t>
  </si>
  <si>
    <t>Risk-free rate</t>
  </si>
  <si>
    <t>Equity risk premium</t>
  </si>
  <si>
    <t>Cost of equity (no country risk)</t>
  </si>
  <si>
    <t>CAPM</t>
  </si>
  <si>
    <t>Pre-tax cost of debt</t>
  </si>
  <si>
    <t>NorthStar 2026 interest rate (Exhibit 2); same rate used for all projects</t>
  </si>
  <si>
    <t>After-tax cost of debt</t>
  </si>
  <si>
    <t>Base WACC (Frontera, no country risk)</t>
  </si>
  <si>
    <t>Project</t>
  </si>
  <si>
    <t>Country risk premium (Exhibit 4)</t>
  </si>
  <si>
    <t>Cost of equity incl. premium</t>
  </si>
  <si>
    <t>WACC: equity-only</t>
  </si>
  <si>
    <t>WACC: whole-WACC</t>
  </si>
  <si>
    <t>WACC USED (per switch)</t>
  </si>
  <si>
    <t>Bison (Frontera)</t>
  </si>
  <si>
    <t>Fennec (Tassili)</t>
  </si>
  <si>
    <t>Puma (Amazonia)</t>
  </si>
  <si>
    <t>Equity-only: premium is added to cost of equity, so it is weighted by the equity share. Whole-WACC: the full premium is added to the blended rate.</t>
  </si>
  <si>
    <t>Project Bison: DCF, IRR and leverage check</t>
  </si>
  <si>
    <t>$ in millions unless stated. Costs shown as negatives. Green = linked to exhibits, black = formula. Carbon is deducted for valuation only (rows 41-42), never in the leverage test.</t>
  </si>
  <si>
    <t>Inputs (linked)</t>
  </si>
  <si>
    <t>Development cost ($MM)</t>
  </si>
  <si>
    <t>Production royalty and government take (% of revenue)</t>
  </si>
  <si>
    <t>Direct operating expense ($/boe)</t>
  </si>
  <si>
    <t>Overhead expense ($/boe)</t>
  </si>
  <si>
    <t>Midstream expense ($/boe)</t>
  </si>
  <si>
    <t>Depreciation / producing life (years)</t>
  </si>
  <si>
    <t>Undiscounted decommissioning ($MM, final year)</t>
  </si>
  <si>
    <t>Development years (time to production)</t>
  </si>
  <si>
    <t>Carbon intensity (kg CO2e/boe)</t>
  </si>
  <si>
    <t>Oil-equivalent production (MBOED)</t>
  </si>
  <si>
    <t>Annual volume (MM boe)</t>
  </si>
  <si>
    <t xml:space="preserve">  Crude share of boe</t>
  </si>
  <si>
    <t xml:space="preserve">  Natural gas share of boe</t>
  </si>
  <si>
    <t xml:space="preserve">  NGL share of boe</t>
  </si>
  <si>
    <t>Crude price ($/bbl)</t>
  </si>
  <si>
    <t>Gas price ($/MMBtu)</t>
  </si>
  <si>
    <t>NGL price ($/bbl)</t>
  </si>
  <si>
    <t>Gas price converted ($/boe)</t>
  </si>
  <si>
    <t>Less: royalty and government take</t>
  </si>
  <si>
    <t>Less: direct opex</t>
  </si>
  <si>
    <t>Less: overhead</t>
  </si>
  <si>
    <t>Less: midstream</t>
  </si>
  <si>
    <t>EBITDA (project)</t>
  </si>
  <si>
    <t>Less: depreciation (straight line from first production year)</t>
  </si>
  <si>
    <t>Taxable income</t>
  </si>
  <si>
    <t>Less: income tax @ 21%</t>
  </si>
  <si>
    <t>Less: development capex (split evenly over development years)</t>
  </si>
  <si>
    <t>Less: decommissioning (final year, not deductible)</t>
  </si>
  <si>
    <t>Unlevered free cash flow (used in leverage test)</t>
  </si>
  <si>
    <t>Less: carbon cost @ $75/t (valuation only)</t>
  </si>
  <si>
    <t>Discount factor (year-end)</t>
  </si>
  <si>
    <t>Present value</t>
  </si>
  <si>
    <t>Results</t>
  </si>
  <si>
    <t>Leverage check (case template): Net debt / Adj. EBITDA must stay at or below the ceiling every year</t>
  </si>
  <si>
    <t>Baseline Adj. EBITDA (2026 base, +3%/yr)</t>
  </si>
  <si>
    <t>- Base free cash flow before dividend (+3%/yr)</t>
  </si>
  <si>
    <t>+ Dividends paid (+5%/yr)</t>
  </si>
  <si>
    <t>Headroom: net debt the ceiling still allows ($MM)</t>
  </si>
  <si>
    <t>Dividend coverage ((base FCF + project FCF) / dividend)</t>
  </si>
  <si>
    <t>Simplifications (as in the case template): baseline EBITDA and free cash flow do not change with project prices; no interest is charged on project debt; project EBITDA excludes carbon and decommissioning.</t>
  </si>
  <si>
    <t>Project Fennec: DCF, IRR and leverage check</t>
  </si>
  <si>
    <t>Project Puma: DCF, IRR and leverage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</si>
</sst>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0.0"/>
    <numFmt numFmtId="165" formatCode="#,##0.0_);\-#,##0.0_);\-_)"/>
    <numFmt numFmtId="166" formatCode="#,##0_);\-#,##0_);\-_)"/>
    <numFmt numFmtId="167" formatCode="#,##0.00_);\-#,##0.00_);\-_)"/>
    <numFmt numFmtId="168" formatCode="\$#,##0.00_);[Red]&quot;($&quot;#,##0.00\)"/>
    <numFmt numFmtId="169" formatCode="_(\$* #,##0.00_);_(\$* \(#,##0.00\);_(\$* \-??_);_(@_)"/>
    <numFmt numFmtId="170" formatCode="\$#,##0.00"/>
    <numFmt numFmtId="171" formatCode="\$#,##0_);[Red]&quot;($&quot;#,##0\)"/>
    <numFmt numFmtId="172" formatCode="_(* #,##0.00_);_(* \(#,##0.00\);_(* \-??_);_(@_)"/>
    <numFmt numFmtId="173" formatCode="_(* #,##0_);_(* \(#,##0\);_(* \-??_);_(@_)"/>
    <numFmt numFmtId="174" formatCode="_(* #,##0_);_(* \(#,##0\);_(* \-?_);_(@_)"/>
    <numFmt numFmtId="175" formatCode="#,##0.00;\(#,##0.00\)"/>
    <numFmt numFmtId="176" formatCode="#,##0;\(#,##0\)"/>
    <numFmt numFmtId="177" formatCode="_(\$* #,##0_);_(\$* \(#,##0\);_(\$* \-??_);_(@_)"/>
    <numFmt numFmtId="178" formatCode="0.0%"/>
    <numFmt numFmtId="179" formatCode="\$#,##0"/>
    <numFmt numFmtId="180" formatCode="0.00\x"/>
    <numFmt numFmtId="181" formatCode="#,##0;\(#,##0\);\-"/>
    <numFmt numFmtId="182" formatCode="#,##0.0;\(#,##0.0\);\-"/>
    <numFmt numFmtId="183" formatCode="0.0"/>
    <numFmt numFmtId="184" formatCode="0.000"/>
    <numFmt numFmtId="185" formatCode="0.0%;\(0.0%\);\-"/>
    <numFmt numFmtId="186" formatCode="0.00\x;\(0.00&quot;x)&quot;"/>
  </numFmts>
  <fonts count="43">
    <font>
      <sz val="11"/>
      <color theme="1"/>
      <name val="Aptos Narrow"/>
      <family val="2"/>
      <charset val="1"/>
    </font>
    <font>
      <b/>
      <sz val="9"/>
      <color rgb="FF000080"/>
      <name val="Arial"/>
      <family val="2"/>
      <charset val="1"/>
    </font>
    <font>
      <b/>
      <sz val="14"/>
      <color rgb="FF000000"/>
      <name val="Arial"/>
      <family val="2"/>
      <charset val="1"/>
    </font>
    <font>
      <sz val="8"/>
      <name val="Arial"/>
      <family val="2"/>
      <charset val="1"/>
    </font>
    <font>
      <sz val="10"/>
      <name val="Arial"/>
      <family val="2"/>
      <charset val="1"/>
    </font>
    <font>
      <sz val="10"/>
      <color theme="1"/>
      <name val="Arial"/>
      <family val="2"/>
      <charset val="1"/>
    </font>
    <font>
      <b/>
      <sz val="8"/>
      <color rgb="FF000080"/>
      <name val="Arial"/>
      <family val="2"/>
      <charset val="1"/>
    </font>
    <font>
      <b/>
      <sz val="12"/>
      <color rgb="FF000080"/>
      <name val="Arial"/>
      <family val="2"/>
      <charset val="1"/>
    </font>
    <font>
      <b/>
      <sz val="12"/>
      <name val="Arial"/>
      <family val="2"/>
      <charset val="1"/>
    </font>
    <font>
      <b/>
      <sz val="16"/>
      <name val="Arial"/>
      <family val="2"/>
      <charset val="1"/>
    </font>
    <font>
      <b/>
      <sz val="9"/>
      <name val="Arial"/>
      <family val="2"/>
      <charset val="1"/>
    </font>
    <font>
      <b/>
      <i/>
      <u/>
      <sz val="10"/>
      <color theme="1"/>
      <name val="Arial"/>
      <family val="2"/>
      <charset val="1"/>
    </font>
    <font>
      <b/>
      <sz val="10"/>
      <color theme="0"/>
      <name val="Arial"/>
      <family val="2"/>
      <charset val="1"/>
    </font>
    <font>
      <b/>
      <sz val="10"/>
      <name val="Arial"/>
      <family val="2"/>
      <charset val="1"/>
    </font>
    <font>
      <sz val="10"/>
      <color theme="0"/>
      <name val="Arial"/>
      <family val="2"/>
      <charset val="1"/>
    </font>
    <font>
      <b/>
      <u/>
      <sz val="10"/>
      <name val="Arial"/>
      <family val="2"/>
      <charset val="1"/>
    </font>
    <font>
      <sz val="10"/>
      <color rgb="FFFFFFFF"/>
      <name val="Arial"/>
      <family val="2"/>
      <charset val="1"/>
    </font>
    <font>
      <sz val="10"/>
      <color rgb="FF333333"/>
      <name val="Arial"/>
      <family val="2"/>
      <charset val="1"/>
    </font>
    <font>
      <b/>
      <sz val="10"/>
      <color rgb="FF000000"/>
      <name val="Arial"/>
      <family val="2"/>
      <charset val="1"/>
    </font>
    <font>
      <i/>
      <sz val="10"/>
      <name val="Arial"/>
      <family val="2"/>
      <charset val="1"/>
    </font>
    <font>
      <i/>
      <sz val="10"/>
      <color theme="1"/>
      <name val="Arial"/>
      <family val="2"/>
      <charset val="1"/>
    </font>
    <font>
      <sz val="10"/>
      <color rgb="FF000000"/>
      <name val="Arial"/>
      <family val="2"/>
      <charset val="1"/>
    </font>
    <font>
      <b/>
      <sz val="10"/>
      <color rgb="FFFFFFFF"/>
      <name val="Arial"/>
      <family val="2"/>
      <charset val="1"/>
    </font>
    <font>
      <b/>
      <u/>
      <sz val="10"/>
      <color theme="1"/>
      <name val="Arial"/>
      <family val="2"/>
      <charset val="1"/>
    </font>
    <font>
      <b/>
      <i/>
      <u/>
      <sz val="10"/>
      <name val="Arial"/>
      <family val="2"/>
      <charset val="1"/>
    </font>
    <font>
      <b/>
      <sz val="10"/>
      <color theme="1"/>
      <name val="Arial"/>
      <family val="2"/>
      <charset val="1"/>
    </font>
    <font>
      <u/>
      <sz val="10"/>
      <color theme="1"/>
      <name val="Arial"/>
      <family val="2"/>
      <charset val="1"/>
    </font>
    <font>
      <sz val="10"/>
      <color rgb="FF0000FF"/>
      <name val="Arial"/>
      <family val="2"/>
      <charset val="1"/>
    </font>
    <font>
      <sz val="10"/>
      <name val="Aptos Narrow"/>
    </font>
    <font>
      <b/>
      <sz val="11"/>
      <color theme="1"/>
      <name val="Aptos Narrow"/>
      <family val="2"/>
      <charset val="1"/>
    </font>
    <font>
      <sz val="10"/>
      <color theme="1"/>
      <name val="Aptos Narrow"/>
      <family val="2"/>
      <charset val="1"/>
    </font>
    <font>
      <b/>
      <sz val="12"/>
      <color theme="9" tint="-0.499984740745262"/>
      <name val="Aptos Narrow"/>
      <family val="2"/>
      <charset val="1"/>
    </font>
    <font>
      <b/>
      <sz val="11"/>
      <name val="Aptos Narrow"/>
    </font>
    <font>
      <sz val="10"/>
      <name val="Aptos Narrow"/>
      <family val="2"/>
      <charset val="1"/>
    </font>
    <font>
      <b/>
      <sz val="11"/>
      <color rgb="FFC00000"/>
      <name val="Aptos Narrow"/>
    </font>
    <font>
      <b/>
      <sz val="14"/>
      <color rgb="FF1F3864"/>
      <name val="Arial"/>
      <family val="2"/>
    </font>
    <font>
      <i/>
      <sz val="9"/>
      <color rgb="FF595959"/>
      <name val="Arial"/>
      <family val="2"/>
    </font>
    <font>
      <b/>
      <sz val="10"/>
      <color rgb="FFFFFFFF"/>
      <name val="Arial"/>
      <family val="2"/>
    </font>
    <font>
      <sz val="10"/>
      <name val="Arial"/>
      <family val="2"/>
    </font>
    <font>
      <b/>
      <sz val="10"/>
      <name val="Arial"/>
      <family val="2"/>
    </font>
    <font>
      <sz val="10"/>
      <color rgb="FF008000"/>
      <name val="Arial"/>
      <family val="2"/>
    </font>
    <font>
      <sz val="10"/>
      <color rgb="FF0000FF"/>
      <name val="Arial"/>
      <family val="2"/>
    </font>
    <font>
      <sz val="11"/>
      <color theme="1"/>
      <name val="Aptos Narrow"/>
      <family val="2"/>
      <charset val="1"/>
    </font>
  </fonts>
  <fills count="10">
    <fill>
      <patternFill patternType="none"/>
    </fill>
    <fill>
      <patternFill patternType="gray125"/>
    </fill>
    <fill>
      <patternFill patternType="solid">
        <fgColor theme="0"/>
        <bgColor rgb="FFFFF2CC"/>
      </patternFill>
    </fill>
    <fill>
      <patternFill patternType="solid">
        <fgColor theme="9" tint="-0.499984740745262"/>
        <bgColor rgb="FF13501B"/>
      </patternFill>
    </fill>
    <fill>
      <patternFill patternType="solid">
        <fgColor theme="6" tint="-0.249977111117893"/>
        <bgColor rgb="FF275417"/>
      </patternFill>
    </fill>
    <fill>
      <patternFill patternType="solid">
        <fgColor rgb="FFFFF2CC"/>
        <bgColor rgb="FFFFFFFF"/>
      </patternFill>
    </fill>
    <fill>
      <patternFill patternType="solid">
        <fgColor rgb="FF1F3864"/>
        <bgColor rgb="FF333333"/>
      </patternFill>
    </fill>
    <fill>
      <patternFill patternType="solid">
        <fgColor rgb="FFD9E2F3"/>
        <bgColor rgb="FFD9D9D9"/>
      </patternFill>
    </fill>
    <fill>
      <patternFill patternType="solid">
        <fgColor rgb="FFFFFF00"/>
        <bgColor rgb="FFFFFF00"/>
      </patternFill>
    </fill>
    <fill>
      <patternFill patternType="solid">
        <fgColor rgb="FFF8CBAD"/>
        <bgColor rgb="FFD9D9D9"/>
      </patternFill>
    </fill>
  </fills>
  <borders count="22">
    <border>
      <left/>
      <right/>
      <top/>
      <bottom/>
      <diagonal/>
    </border>
    <border>
      <left/>
      <right/>
      <top style="medium">
        <color auto="1"/>
      </top>
      <bottom style="thin">
        <color auto="1"/>
      </bottom>
      <diagonal/>
    </border>
    <border>
      <left/>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4">
    <xf numFmtId="0" fontId="0" fillId="0" borderId="0"/>
    <xf numFmtId="172" fontId="42" fillId="0" borderId="0"/>
    <xf numFmtId="169" fontId="42" fillId="0" borderId="0"/>
    <xf numFmtId="9" fontId="42" fillId="0" borderId="0"/>
    <xf numFmtId="1" fontId="1" fillId="0" borderId="1">
      <alignment vertical="top"/>
    </xf>
    <xf numFmtId="164" fontId="2" fillId="0" borderId="0"/>
    <xf numFmtId="164" fontId="3" fillId="0" borderId="0"/>
    <xf numFmtId="0" fontId="4" fillId="0" borderId="0"/>
    <xf numFmtId="165" fontId="3" fillId="0" borderId="0"/>
    <xf numFmtId="0" fontId="5" fillId="0" borderId="0"/>
    <xf numFmtId="0" fontId="42" fillId="0" borderId="0"/>
    <xf numFmtId="165" fontId="3" fillId="0" borderId="0"/>
    <xf numFmtId="0" fontId="4" fillId="0" borderId="0"/>
    <xf numFmtId="166" fontId="3" fillId="0" borderId="0"/>
    <xf numFmtId="167" fontId="3" fillId="0" borderId="0"/>
    <xf numFmtId="9" fontId="3" fillId="0" borderId="0"/>
    <xf numFmtId="165" fontId="6" fillId="0" borderId="0"/>
    <xf numFmtId="165" fontId="7" fillId="0" borderId="0"/>
    <xf numFmtId="164" fontId="8" fillId="0" borderId="0"/>
    <xf numFmtId="164" fontId="9" fillId="0" borderId="0"/>
    <xf numFmtId="165" fontId="1" fillId="0" borderId="2">
      <alignment horizontal="right"/>
    </xf>
    <xf numFmtId="166" fontId="1" fillId="0" borderId="2"/>
    <xf numFmtId="167" fontId="1" fillId="0" borderId="2"/>
    <xf numFmtId="0" fontId="10" fillId="0" borderId="2"/>
  </cellStyleXfs>
  <cellXfs count="255">
    <xf numFmtId="0" fontId="0" fillId="0" borderId="0" xfId="0"/>
    <xf numFmtId="0" fontId="5" fillId="2" borderId="0" xfId="0" applyFont="1" applyFill="1" applyAlignment="1">
      <alignment horizontal="left" vertical="top" wrapText="1"/>
    </xf>
    <xf numFmtId="0" fontId="5" fillId="0" borderId="0" xfId="0" applyFont="1" applyAlignment="1">
      <alignment wrapText="1"/>
    </xf>
    <xf numFmtId="0" fontId="5" fillId="0" borderId="0" xfId="0" applyFont="1" applyAlignment="1">
      <alignment horizontal="center" wrapText="1"/>
    </xf>
    <xf numFmtId="0" fontId="5" fillId="2" borderId="0" xfId="0" applyFont="1" applyFill="1" applyAlignment="1">
      <alignment wrapText="1"/>
    </xf>
    <xf numFmtId="0" fontId="5" fillId="2" borderId="0" xfId="0" applyFont="1" applyFill="1" applyAlignment="1">
      <alignment horizontal="center" wrapText="1"/>
    </xf>
    <xf numFmtId="0" fontId="11" fillId="2" borderId="0" xfId="0" applyFont="1" applyFill="1"/>
    <xf numFmtId="0" fontId="12" fillId="3" borderId="0" xfId="0" applyFont="1" applyFill="1" applyAlignment="1">
      <alignment wrapText="1"/>
    </xf>
    <xf numFmtId="0" fontId="12" fillId="3" borderId="0" xfId="0" applyFont="1" applyFill="1" applyAlignment="1">
      <alignment horizontal="center" wrapText="1"/>
    </xf>
    <xf numFmtId="0" fontId="13" fillId="2" borderId="0" xfId="0" applyFont="1" applyFill="1" applyAlignment="1">
      <alignment wrapText="1"/>
    </xf>
    <xf numFmtId="0" fontId="13" fillId="2" borderId="0" xfId="0" applyFont="1" applyFill="1" applyAlignment="1">
      <alignment horizontal="center" wrapText="1"/>
    </xf>
    <xf numFmtId="9" fontId="5" fillId="2" borderId="0" xfId="0" applyNumberFormat="1" applyFont="1" applyFill="1" applyAlignment="1">
      <alignment horizontal="center" wrapText="1"/>
    </xf>
    <xf numFmtId="10" fontId="5" fillId="2" borderId="0" xfId="0" applyNumberFormat="1" applyFont="1" applyFill="1" applyAlignment="1">
      <alignment horizontal="center" wrapText="1"/>
    </xf>
    <xf numFmtId="0" fontId="5" fillId="2" borderId="0" xfId="0" applyFont="1" applyFill="1" applyAlignment="1">
      <alignment horizontal="left" wrapText="1"/>
    </xf>
    <xf numFmtId="2" fontId="5" fillId="2" borderId="0" xfId="0" applyNumberFormat="1" applyFont="1" applyFill="1" applyAlignment="1">
      <alignment horizontal="center" wrapText="1"/>
    </xf>
    <xf numFmtId="168" fontId="5" fillId="0" borderId="0" xfId="0" applyNumberFormat="1" applyFont="1" applyAlignment="1">
      <alignment horizontal="center" wrapText="1"/>
    </xf>
    <xf numFmtId="0" fontId="5" fillId="0" borderId="0" xfId="0" applyFont="1" applyAlignment="1">
      <alignment horizontal="left" wrapText="1"/>
    </xf>
    <xf numFmtId="168" fontId="5" fillId="2" borderId="0" xfId="0" applyNumberFormat="1" applyFont="1" applyFill="1" applyAlignment="1">
      <alignment horizontal="center" wrapText="1"/>
    </xf>
    <xf numFmtId="0" fontId="5" fillId="2" borderId="0" xfId="2" applyNumberFormat="1" applyFont="1" applyFill="1" applyAlignment="1">
      <alignment horizontal="center" wrapText="1"/>
    </xf>
    <xf numFmtId="0" fontId="14" fillId="2" borderId="0" xfId="0" applyFont="1" applyFill="1" applyAlignment="1">
      <alignment horizontal="center" wrapText="1"/>
    </xf>
    <xf numFmtId="0" fontId="14" fillId="2" borderId="0" xfId="0" applyFont="1" applyFill="1" applyAlignment="1">
      <alignment horizontal="left" wrapText="1"/>
    </xf>
    <xf numFmtId="0" fontId="14" fillId="2" borderId="0" xfId="0" applyFont="1" applyFill="1" applyAlignment="1">
      <alignment wrapText="1"/>
    </xf>
    <xf numFmtId="0" fontId="4" fillId="2" borderId="0" xfId="0" applyFont="1" applyFill="1" applyAlignment="1">
      <alignment wrapText="1"/>
    </xf>
    <xf numFmtId="170" fontId="5" fillId="2" borderId="0" xfId="2" applyNumberFormat="1" applyFont="1" applyFill="1" applyAlignment="1">
      <alignment horizontal="center" wrapText="1"/>
    </xf>
    <xf numFmtId="171" fontId="5" fillId="2" borderId="0" xfId="0" applyNumberFormat="1" applyFont="1" applyFill="1" applyAlignment="1">
      <alignment horizontal="center" wrapText="1"/>
    </xf>
    <xf numFmtId="0" fontId="15" fillId="2" borderId="0" xfId="0" applyFont="1" applyFill="1"/>
    <xf numFmtId="0" fontId="4" fillId="2" borderId="0" xfId="0" applyFont="1" applyFill="1"/>
    <xf numFmtId="171" fontId="5" fillId="0" borderId="0" xfId="0" applyNumberFormat="1" applyFont="1" applyAlignment="1">
      <alignment horizontal="center" wrapText="1"/>
    </xf>
    <xf numFmtId="0" fontId="5" fillId="0" borderId="0" xfId="0" applyFont="1"/>
    <xf numFmtId="0" fontId="5" fillId="2" borderId="0" xfId="0" applyFont="1" applyFill="1"/>
    <xf numFmtId="0" fontId="16" fillId="3" borderId="3" xfId="0" applyFont="1" applyFill="1" applyBorder="1" applyAlignment="1">
      <alignment vertical="top"/>
    </xf>
    <xf numFmtId="0" fontId="16" fillId="3" borderId="4" xfId="0" applyFont="1" applyFill="1" applyBorder="1" applyAlignment="1">
      <alignment vertical="top"/>
    </xf>
    <xf numFmtId="0" fontId="16" fillId="3" borderId="5" xfId="0" applyFont="1" applyFill="1" applyBorder="1" applyAlignment="1">
      <alignment vertical="top"/>
    </xf>
    <xf numFmtId="0" fontId="16" fillId="3" borderId="6" xfId="0" applyFont="1" applyFill="1" applyBorder="1" applyAlignment="1">
      <alignment vertical="top"/>
    </xf>
    <xf numFmtId="0" fontId="16" fillId="3" borderId="0" xfId="0" applyFont="1" applyFill="1" applyAlignment="1">
      <alignment vertical="top"/>
    </xf>
    <xf numFmtId="0" fontId="16" fillId="3" borderId="7" xfId="0" applyFont="1" applyFill="1" applyBorder="1" applyAlignment="1">
      <alignment vertical="top"/>
    </xf>
    <xf numFmtId="0" fontId="17" fillId="2" borderId="6" xfId="0" applyFont="1" applyFill="1" applyBorder="1" applyAlignment="1">
      <alignment horizontal="left" indent="1"/>
    </xf>
    <xf numFmtId="3" fontId="4" fillId="2" borderId="0" xfId="0" applyNumberFormat="1" applyFont="1" applyFill="1" applyAlignment="1">
      <alignment horizontal="right"/>
    </xf>
    <xf numFmtId="3" fontId="4" fillId="2" borderId="7" xfId="0" applyNumberFormat="1" applyFont="1" applyFill="1" applyBorder="1" applyAlignment="1">
      <alignment horizontal="right"/>
    </xf>
    <xf numFmtId="0" fontId="18" fillId="2" borderId="6" xfId="0" applyFont="1" applyFill="1" applyBorder="1"/>
    <xf numFmtId="3" fontId="13" fillId="2" borderId="0" xfId="0" applyNumberFormat="1" applyFont="1" applyFill="1" applyAlignment="1">
      <alignment horizontal="right"/>
    </xf>
    <xf numFmtId="3" fontId="13" fillId="2" borderId="7" xfId="0" applyNumberFormat="1" applyFont="1" applyFill="1" applyBorder="1" applyAlignment="1">
      <alignment horizontal="right"/>
    </xf>
    <xf numFmtId="3" fontId="5" fillId="2" borderId="0" xfId="0" applyNumberFormat="1" applyFont="1" applyFill="1"/>
    <xf numFmtId="0" fontId="13" fillId="2" borderId="0" xfId="0" applyFont="1" applyFill="1" applyAlignment="1">
      <alignment horizontal="right"/>
    </xf>
    <xf numFmtId="0" fontId="13" fillId="2" borderId="7" xfId="0" applyFont="1" applyFill="1" applyBorder="1" applyAlignment="1">
      <alignment horizontal="right"/>
    </xf>
    <xf numFmtId="0" fontId="4" fillId="2" borderId="0" xfId="0" applyFont="1" applyFill="1" applyAlignment="1">
      <alignment horizontal="right"/>
    </xf>
    <xf numFmtId="0" fontId="4" fillId="2" borderId="7" xfId="0" applyFont="1" applyFill="1" applyBorder="1" applyAlignment="1">
      <alignment horizontal="right"/>
    </xf>
    <xf numFmtId="0" fontId="4" fillId="2" borderId="6" xfId="0" applyFont="1" applyFill="1" applyBorder="1" applyAlignment="1">
      <alignment horizontal="left" indent="1"/>
    </xf>
    <xf numFmtId="0" fontId="13" fillId="2" borderId="6" xfId="0" applyFont="1" applyFill="1" applyBorder="1"/>
    <xf numFmtId="0" fontId="18" fillId="2" borderId="8" xfId="0" applyFont="1" applyFill="1" applyBorder="1"/>
    <xf numFmtId="3" fontId="13" fillId="2" borderId="9" xfId="0" applyNumberFormat="1" applyFont="1" applyFill="1" applyBorder="1" applyAlignment="1">
      <alignment horizontal="right"/>
    </xf>
    <xf numFmtId="3" fontId="13" fillId="2" borderId="10" xfId="0" applyNumberFormat="1" applyFont="1" applyFill="1" applyBorder="1" applyAlignment="1">
      <alignment horizontal="right"/>
    </xf>
    <xf numFmtId="0" fontId="19" fillId="2" borderId="6" xfId="0" applyFont="1" applyFill="1" applyBorder="1"/>
    <xf numFmtId="0" fontId="5" fillId="2" borderId="6" xfId="0" applyFont="1" applyFill="1" applyBorder="1"/>
    <xf numFmtId="0" fontId="13" fillId="2" borderId="8" xfId="0" applyFont="1" applyFill="1" applyBorder="1"/>
    <xf numFmtId="173" fontId="5" fillId="2" borderId="0" xfId="1" applyNumberFormat="1" applyFont="1" applyFill="1"/>
    <xf numFmtId="3" fontId="5" fillId="0" borderId="0" xfId="0" applyNumberFormat="1" applyFont="1"/>
    <xf numFmtId="174" fontId="5" fillId="0" borderId="0" xfId="0" applyNumberFormat="1" applyFont="1"/>
    <xf numFmtId="37" fontId="4" fillId="2" borderId="0" xfId="0" applyNumberFormat="1" applyFont="1" applyFill="1" applyAlignment="1">
      <alignment horizontal="right"/>
    </xf>
    <xf numFmtId="37" fontId="4" fillId="2" borderId="7" xfId="0" applyNumberFormat="1" applyFont="1" applyFill="1" applyBorder="1" applyAlignment="1">
      <alignment horizontal="right"/>
    </xf>
    <xf numFmtId="0" fontId="4" fillId="2" borderId="6" xfId="0" applyFont="1" applyFill="1" applyBorder="1"/>
    <xf numFmtId="0" fontId="4" fillId="2" borderId="8" xfId="0" applyFont="1" applyFill="1" applyBorder="1"/>
    <xf numFmtId="3" fontId="4" fillId="2" borderId="9" xfId="0" applyNumberFormat="1" applyFont="1" applyFill="1" applyBorder="1" applyAlignment="1">
      <alignment horizontal="right"/>
    </xf>
    <xf numFmtId="0" fontId="4" fillId="2" borderId="9" xfId="0" applyFont="1" applyFill="1" applyBorder="1" applyAlignment="1">
      <alignment horizontal="right"/>
    </xf>
    <xf numFmtId="3" fontId="4" fillId="2" borderId="10" xfId="0" applyNumberFormat="1" applyFont="1" applyFill="1" applyBorder="1" applyAlignment="1">
      <alignment horizontal="right"/>
    </xf>
    <xf numFmtId="0" fontId="5" fillId="2" borderId="6" xfId="0" applyFont="1" applyFill="1" applyBorder="1" applyAlignment="1">
      <alignment horizontal="left"/>
    </xf>
    <xf numFmtId="174" fontId="5" fillId="2" borderId="0" xfId="0" applyNumberFormat="1" applyFont="1" applyFill="1"/>
    <xf numFmtId="0" fontId="20" fillId="0" borderId="6" xfId="0" applyFont="1" applyBorder="1" applyAlignment="1">
      <alignment horizontal="left"/>
    </xf>
    <xf numFmtId="10" fontId="21" fillId="0" borderId="0" xfId="0" applyNumberFormat="1" applyFont="1" applyAlignment="1">
      <alignment horizontal="right"/>
    </xf>
    <xf numFmtId="10" fontId="21" fillId="0" borderId="7" xfId="0" applyNumberFormat="1" applyFont="1" applyBorder="1" applyAlignment="1">
      <alignment horizontal="right"/>
    </xf>
    <xf numFmtId="0" fontId="5" fillId="2" borderId="8" xfId="0" applyFont="1" applyFill="1" applyBorder="1" applyAlignment="1">
      <alignment horizontal="left"/>
    </xf>
    <xf numFmtId="0" fontId="13" fillId="2" borderId="9" xfId="0" applyFont="1" applyFill="1" applyBorder="1" applyAlignment="1">
      <alignment horizontal="right"/>
    </xf>
    <xf numFmtId="0" fontId="13" fillId="2" borderId="10" xfId="0" applyFont="1" applyFill="1" applyBorder="1" applyAlignment="1">
      <alignment horizontal="right"/>
    </xf>
    <xf numFmtId="0" fontId="22" fillId="3" borderId="3" xfId="0" applyFont="1" applyFill="1" applyBorder="1" applyAlignment="1">
      <alignment vertical="center"/>
    </xf>
    <xf numFmtId="0" fontId="4" fillId="2" borderId="3" xfId="0" applyFont="1" applyFill="1" applyBorder="1" applyAlignment="1">
      <alignment horizontal="left" indent="1"/>
    </xf>
    <xf numFmtId="0" fontId="4" fillId="2" borderId="4" xfId="0" applyFont="1" applyFill="1" applyBorder="1" applyAlignment="1">
      <alignment horizontal="right"/>
    </xf>
    <xf numFmtId="0" fontId="4" fillId="2" borderId="5" xfId="0" applyFont="1" applyFill="1" applyBorder="1" applyAlignment="1">
      <alignment horizontal="right"/>
    </xf>
    <xf numFmtId="0" fontId="4" fillId="2" borderId="8" xfId="0" applyFont="1" applyFill="1" applyBorder="1" applyAlignment="1">
      <alignment horizontal="left" indent="1"/>
    </xf>
    <xf numFmtId="0" fontId="4" fillId="2" borderId="10" xfId="0" applyFont="1" applyFill="1" applyBorder="1" applyAlignment="1">
      <alignment horizontal="right"/>
    </xf>
    <xf numFmtId="169" fontId="5" fillId="2" borderId="0" xfId="0" applyNumberFormat="1" applyFont="1" applyFill="1"/>
    <xf numFmtId="0" fontId="14" fillId="4" borderId="3" xfId="0" applyFont="1" applyFill="1" applyBorder="1" applyAlignment="1">
      <alignment horizontal="center" vertical="center" wrapText="1"/>
    </xf>
    <xf numFmtId="0" fontId="14" fillId="4" borderId="4" xfId="0" applyFont="1" applyFill="1" applyBorder="1" applyAlignment="1">
      <alignment horizontal="center" vertical="center" wrapText="1"/>
    </xf>
    <xf numFmtId="0" fontId="14" fillId="4" borderId="5" xfId="0" applyFont="1" applyFill="1" applyBorder="1" applyAlignment="1">
      <alignment horizontal="center" vertical="center" wrapText="1"/>
    </xf>
    <xf numFmtId="0" fontId="5" fillId="0" borderId="3" xfId="0" applyFont="1" applyBorder="1" applyAlignment="1">
      <alignment wrapText="1"/>
    </xf>
    <xf numFmtId="0" fontId="5" fillId="0" borderId="4" xfId="0" applyFont="1" applyBorder="1" applyAlignment="1">
      <alignment wrapText="1"/>
    </xf>
    <xf numFmtId="0" fontId="5" fillId="0" borderId="4" xfId="0" applyFont="1" applyBorder="1" applyAlignment="1">
      <alignment horizontal="center" wrapText="1"/>
    </xf>
    <xf numFmtId="0" fontId="5" fillId="0" borderId="5" xfId="0" applyFont="1" applyBorder="1"/>
    <xf numFmtId="0" fontId="5" fillId="0" borderId="6" xfId="0" applyFont="1" applyBorder="1" applyAlignment="1">
      <alignment vertical="top"/>
    </xf>
    <xf numFmtId="175" fontId="5" fillId="0" borderId="0" xfId="0" applyNumberFormat="1" applyFont="1" applyAlignment="1">
      <alignment horizontal="center" vertical="top"/>
    </xf>
    <xf numFmtId="176" fontId="5" fillId="0" borderId="0" xfId="0" applyNumberFormat="1" applyFont="1" applyAlignment="1">
      <alignment horizontal="center" vertical="top"/>
    </xf>
    <xf numFmtId="177" fontId="5" fillId="0" borderId="0" xfId="2" applyNumberFormat="1" applyFont="1" applyAlignment="1">
      <alignment horizontal="center"/>
    </xf>
    <xf numFmtId="177" fontId="5" fillId="0" borderId="0" xfId="2" applyNumberFormat="1" applyFont="1" applyAlignment="1">
      <alignment horizontal="center" vertical="top"/>
    </xf>
    <xf numFmtId="175" fontId="5" fillId="0" borderId="7" xfId="0" applyNumberFormat="1" applyFont="1" applyBorder="1" applyAlignment="1">
      <alignment horizontal="center" vertical="top"/>
    </xf>
    <xf numFmtId="0" fontId="5" fillId="0" borderId="8" xfId="0" applyFont="1" applyBorder="1" applyAlignment="1">
      <alignment vertical="top"/>
    </xf>
    <xf numFmtId="175" fontId="5" fillId="0" borderId="9" xfId="0" applyNumberFormat="1" applyFont="1" applyBorder="1" applyAlignment="1">
      <alignment horizontal="center" vertical="top"/>
    </xf>
    <xf numFmtId="176" fontId="5" fillId="0" borderId="9" xfId="0" applyNumberFormat="1" applyFont="1" applyBorder="1" applyAlignment="1">
      <alignment horizontal="center" vertical="top"/>
    </xf>
    <xf numFmtId="177" fontId="5" fillId="0" borderId="9" xfId="2" applyNumberFormat="1" applyFont="1" applyBorder="1" applyAlignment="1">
      <alignment horizontal="center"/>
    </xf>
    <xf numFmtId="177" fontId="5" fillId="0" borderId="9" xfId="2" applyNumberFormat="1" applyFont="1" applyBorder="1" applyAlignment="1">
      <alignment horizontal="center" vertical="top"/>
    </xf>
    <xf numFmtId="175" fontId="5" fillId="0" borderId="10" xfId="0" applyNumberFormat="1" applyFont="1" applyBorder="1" applyAlignment="1">
      <alignment horizontal="center" vertical="top"/>
    </xf>
    <xf numFmtId="0" fontId="23" fillId="0" borderId="0" xfId="0" applyFont="1"/>
    <xf numFmtId="169" fontId="5" fillId="0" borderId="0" xfId="2" applyFont="1"/>
    <xf numFmtId="0" fontId="12" fillId="3" borderId="11" xfId="0" applyFont="1" applyFill="1" applyBorder="1" applyAlignment="1">
      <alignment horizontal="center"/>
    </xf>
    <xf numFmtId="0" fontId="12" fillId="3" borderId="12" xfId="0" applyFont="1" applyFill="1" applyBorder="1" applyAlignment="1">
      <alignment horizontal="center" wrapText="1"/>
    </xf>
    <xf numFmtId="0" fontId="5" fillId="2" borderId="13" xfId="0" applyFont="1" applyFill="1" applyBorder="1" applyAlignment="1">
      <alignment horizontal="center"/>
    </xf>
    <xf numFmtId="9" fontId="5" fillId="2" borderId="14" xfId="0" applyNumberFormat="1" applyFont="1" applyFill="1" applyBorder="1" applyAlignment="1">
      <alignment horizontal="center"/>
    </xf>
    <xf numFmtId="0" fontId="5" fillId="2" borderId="15" xfId="0" applyFont="1" applyFill="1" applyBorder="1" applyAlignment="1">
      <alignment horizontal="center"/>
    </xf>
    <xf numFmtId="9" fontId="5" fillId="2" borderId="16" xfId="0" applyNumberFormat="1" applyFont="1" applyFill="1" applyBorder="1" applyAlignment="1">
      <alignment horizontal="center"/>
    </xf>
    <xf numFmtId="0" fontId="24" fillId="2" borderId="0" xfId="0" applyFont="1" applyFill="1"/>
    <xf numFmtId="0" fontId="13" fillId="2" borderId="0" xfId="0" applyFont="1" applyFill="1"/>
    <xf numFmtId="0" fontId="12" fillId="3" borderId="11" xfId="0" applyFont="1" applyFill="1" applyBorder="1"/>
    <xf numFmtId="0" fontId="12" fillId="3" borderId="17" xfId="0" applyFont="1" applyFill="1" applyBorder="1"/>
    <xf numFmtId="0" fontId="12" fillId="3" borderId="12" xfId="0" applyFont="1" applyFill="1" applyBorder="1"/>
    <xf numFmtId="169" fontId="5" fillId="0" borderId="0" xfId="0" applyNumberFormat="1" applyFont="1"/>
    <xf numFmtId="0" fontId="5" fillId="2" borderId="13" xfId="0" applyFont="1" applyFill="1" applyBorder="1"/>
    <xf numFmtId="2" fontId="5" fillId="2" borderId="0" xfId="0" applyNumberFormat="1" applyFont="1" applyFill="1"/>
    <xf numFmtId="2" fontId="5" fillId="2" borderId="14" xfId="0" applyNumberFormat="1" applyFont="1" applyFill="1" applyBorder="1"/>
    <xf numFmtId="2" fontId="5" fillId="0" borderId="0" xfId="0" applyNumberFormat="1" applyFont="1"/>
    <xf numFmtId="0" fontId="5" fillId="2" borderId="14" xfId="0" applyFont="1" applyFill="1" applyBorder="1"/>
    <xf numFmtId="0" fontId="5" fillId="2" borderId="15" xfId="0" applyFont="1" applyFill="1" applyBorder="1"/>
    <xf numFmtId="0" fontId="5" fillId="2" borderId="18" xfId="0" applyFont="1" applyFill="1" applyBorder="1"/>
    <xf numFmtId="0" fontId="5" fillId="2" borderId="16" xfId="0" applyFont="1" applyFill="1" applyBorder="1"/>
    <xf numFmtId="0" fontId="23" fillId="2" borderId="0" xfId="0" applyFont="1" applyFill="1"/>
    <xf numFmtId="0" fontId="5" fillId="2" borderId="0" xfId="0" applyFont="1" applyFill="1" applyAlignment="1">
      <alignment vertical="top" wrapText="1"/>
    </xf>
    <xf numFmtId="0" fontId="5" fillId="0" borderId="0" xfId="0" applyFont="1" applyAlignment="1">
      <alignment vertical="top" wrapText="1"/>
    </xf>
    <xf numFmtId="172" fontId="5" fillId="0" borderId="0" xfId="1" applyFont="1"/>
    <xf numFmtId="0" fontId="0" fillId="0" borderId="0" xfId="0" applyAlignment="1">
      <alignment vertical="center" wrapText="1"/>
    </xf>
    <xf numFmtId="0" fontId="5" fillId="0" borderId="14" xfId="0" applyFont="1" applyBorder="1"/>
    <xf numFmtId="0" fontId="5" fillId="0" borderId="18" xfId="0" applyFont="1" applyBorder="1"/>
    <xf numFmtId="0" fontId="5" fillId="0" borderId="16" xfId="0" applyFont="1" applyBorder="1"/>
    <xf numFmtId="0" fontId="4" fillId="0" borderId="0" xfId="0" applyFont="1"/>
    <xf numFmtId="10" fontId="4" fillId="2" borderId="0" xfId="0" applyNumberFormat="1" applyFont="1" applyFill="1"/>
    <xf numFmtId="0" fontId="4" fillId="2" borderId="13" xfId="0" applyFont="1" applyFill="1" applyBorder="1"/>
    <xf numFmtId="9" fontId="4" fillId="2" borderId="0" xfId="3" applyFont="1" applyFill="1" applyAlignment="1">
      <alignment horizontal="center"/>
    </xf>
    <xf numFmtId="0" fontId="4" fillId="0" borderId="14" xfId="0" applyFont="1" applyBorder="1"/>
    <xf numFmtId="10" fontId="4" fillId="2" borderId="14" xfId="0" applyNumberFormat="1" applyFont="1" applyFill="1" applyBorder="1"/>
    <xf numFmtId="0" fontId="4" fillId="2" borderId="15" xfId="0" applyFont="1" applyFill="1" applyBorder="1"/>
    <xf numFmtId="9" fontId="4" fillId="2" borderId="18" xfId="3" applyFont="1" applyFill="1" applyBorder="1" applyAlignment="1">
      <alignment horizontal="center"/>
    </xf>
    <xf numFmtId="0" fontId="4" fillId="2" borderId="18" xfId="0" applyFont="1" applyFill="1" applyBorder="1"/>
    <xf numFmtId="10" fontId="4" fillId="2" borderId="18" xfId="0" applyNumberFormat="1" applyFont="1" applyFill="1" applyBorder="1"/>
    <xf numFmtId="10" fontId="4" fillId="2" borderId="16" xfId="0" applyNumberFormat="1" applyFont="1" applyFill="1" applyBorder="1"/>
    <xf numFmtId="0" fontId="12" fillId="0" borderId="0" xfId="0" applyFont="1"/>
    <xf numFmtId="0" fontId="14" fillId="0" borderId="0" xfId="0" applyFont="1"/>
    <xf numFmtId="0" fontId="12" fillId="2" borderId="0" xfId="0" applyFont="1" applyFill="1"/>
    <xf numFmtId="2" fontId="5" fillId="2" borderId="18" xfId="0" applyNumberFormat="1" applyFont="1" applyFill="1" applyBorder="1"/>
    <xf numFmtId="2" fontId="5" fillId="2" borderId="16" xfId="0" applyNumberFormat="1" applyFont="1" applyFill="1" applyBorder="1"/>
    <xf numFmtId="0" fontId="12" fillId="3" borderId="17" xfId="0" applyFont="1" applyFill="1" applyBorder="1" applyAlignment="1">
      <alignment horizontal="center"/>
    </xf>
    <xf numFmtId="0" fontId="12" fillId="3" borderId="12" xfId="0" applyFont="1" applyFill="1" applyBorder="1" applyAlignment="1">
      <alignment horizontal="center"/>
    </xf>
    <xf numFmtId="0" fontId="25" fillId="2" borderId="19" xfId="0" applyFont="1" applyFill="1" applyBorder="1"/>
    <xf numFmtId="0" fontId="5" fillId="2" borderId="20" xfId="0" applyFont="1" applyFill="1" applyBorder="1"/>
    <xf numFmtId="0" fontId="5" fillId="2" borderId="21" xfId="0" applyFont="1" applyFill="1" applyBorder="1"/>
    <xf numFmtId="0" fontId="25" fillId="2" borderId="0" xfId="0" applyFont="1" applyFill="1"/>
    <xf numFmtId="0" fontId="5" fillId="2" borderId="0" xfId="0" applyFont="1" applyFill="1" applyAlignment="1">
      <alignment horizontal="left" indent="1"/>
    </xf>
    <xf numFmtId="0" fontId="5" fillId="2" borderId="0" xfId="0" applyFont="1" applyFill="1" applyAlignment="1">
      <alignment horizontal="right"/>
    </xf>
    <xf numFmtId="0" fontId="25" fillId="2" borderId="0" xfId="0" applyFont="1" applyFill="1" applyAlignment="1">
      <alignment horizontal="left"/>
    </xf>
    <xf numFmtId="0" fontId="5" fillId="2" borderId="0" xfId="0" applyFont="1" applyFill="1" applyAlignment="1">
      <alignment horizontal="center"/>
    </xf>
    <xf numFmtId="0" fontId="26" fillId="2" borderId="0" xfId="0" applyFont="1" applyFill="1"/>
    <xf numFmtId="0" fontId="4" fillId="0" borderId="11" xfId="0" applyFont="1" applyBorder="1" applyAlignment="1">
      <alignment vertical="center"/>
    </xf>
    <xf numFmtId="10" fontId="21" fillId="0" borderId="12" xfId="0" applyNumberFormat="1" applyFont="1" applyBorder="1" applyAlignment="1">
      <alignment vertical="center"/>
    </xf>
    <xf numFmtId="0" fontId="4" fillId="0" borderId="13" xfId="0" applyFont="1" applyBorder="1" applyAlignment="1">
      <alignment vertical="center"/>
    </xf>
    <xf numFmtId="10" fontId="21" fillId="0" borderId="14" xfId="0" applyNumberFormat="1" applyFont="1" applyBorder="1" applyAlignment="1">
      <alignment vertical="center"/>
    </xf>
    <xf numFmtId="3" fontId="21" fillId="0" borderId="14" xfId="0" applyNumberFormat="1" applyFont="1" applyBorder="1" applyAlignment="1">
      <alignment vertical="center"/>
    </xf>
    <xf numFmtId="0" fontId="4" fillId="0" borderId="15" xfId="0" applyFont="1" applyBorder="1" applyAlignment="1">
      <alignment vertical="center"/>
    </xf>
    <xf numFmtId="0" fontId="21" fillId="0" borderId="16" xfId="0" applyFont="1" applyBorder="1" applyAlignment="1">
      <alignment horizontal="right" vertical="center"/>
    </xf>
    <xf numFmtId="9" fontId="27" fillId="0" borderId="0" xfId="3" applyFont="1"/>
    <xf numFmtId="0" fontId="28" fillId="0" borderId="0" xfId="0" applyFont="1"/>
    <xf numFmtId="178" fontId="0" fillId="5" borderId="0" xfId="0" applyNumberFormat="1" applyFill="1"/>
    <xf numFmtId="3" fontId="0" fillId="5" borderId="0" xfId="0" applyNumberFormat="1" applyFill="1"/>
    <xf numFmtId="179" fontId="27" fillId="0" borderId="0" xfId="3" applyNumberFormat="1" applyFont="1"/>
    <xf numFmtId="9" fontId="0" fillId="0" borderId="0" xfId="0" applyNumberFormat="1"/>
    <xf numFmtId="3" fontId="29" fillId="5" borderId="0" xfId="0" applyNumberFormat="1" applyFont="1" applyFill="1"/>
    <xf numFmtId="180" fontId="0" fillId="5" borderId="0" xfId="0" applyNumberFormat="1" applyFill="1"/>
    <xf numFmtId="0" fontId="30" fillId="0" borderId="0" xfId="0" applyFont="1"/>
    <xf numFmtId="179" fontId="0" fillId="0" borderId="0" xfId="0" applyNumberFormat="1"/>
    <xf numFmtId="0" fontId="31" fillId="0" borderId="0" xfId="0" applyFont="1"/>
    <xf numFmtId="0" fontId="32" fillId="0" borderId="0" xfId="0" applyFont="1"/>
    <xf numFmtId="0" fontId="12" fillId="4" borderId="0" xfId="0" applyFont="1" applyFill="1"/>
    <xf numFmtId="3" fontId="0" fillId="0" borderId="0" xfId="0" applyNumberFormat="1"/>
    <xf numFmtId="0" fontId="33" fillId="0" borderId="0" xfId="0" applyFont="1"/>
    <xf numFmtId="2" fontId="0" fillId="0" borderId="0" xfId="0" applyNumberFormat="1"/>
    <xf numFmtId="180" fontId="32" fillId="0" borderId="0" xfId="0" applyNumberFormat="1" applyFont="1"/>
    <xf numFmtId="0" fontId="34" fillId="0" borderId="0" xfId="0" applyFont="1"/>
    <xf numFmtId="180" fontId="0" fillId="0" borderId="0" xfId="0" applyNumberFormat="1"/>
    <xf numFmtId="3" fontId="12" fillId="0" borderId="0" xfId="0" applyNumberFormat="1" applyFont="1"/>
    <xf numFmtId="0" fontId="35" fillId="0" borderId="0" xfId="0" applyFont="1"/>
    <xf numFmtId="0" fontId="36" fillId="0" borderId="0" xfId="0" applyFont="1"/>
    <xf numFmtId="0" fontId="37" fillId="6" borderId="0" xfId="0" applyFont="1" applyFill="1"/>
    <xf numFmtId="0" fontId="38" fillId="0" borderId="0" xfId="0" applyFont="1"/>
    <xf numFmtId="1" fontId="39" fillId="0" borderId="0" xfId="0" applyNumberFormat="1" applyFont="1" applyAlignment="1">
      <alignment horizontal="center"/>
    </xf>
    <xf numFmtId="1" fontId="38" fillId="0" borderId="0" xfId="0" applyNumberFormat="1" applyFont="1" applyAlignment="1">
      <alignment horizontal="center"/>
    </xf>
    <xf numFmtId="181" fontId="39" fillId="0" borderId="0" xfId="0" applyNumberFormat="1" applyFont="1" applyAlignment="1">
      <alignment horizontal="center"/>
    </xf>
    <xf numFmtId="0" fontId="39" fillId="0" borderId="0" xfId="0" applyFont="1"/>
    <xf numFmtId="0" fontId="39" fillId="7" borderId="0" xfId="0" applyFont="1" applyFill="1"/>
    <xf numFmtId="0" fontId="0" fillId="7" borderId="0" xfId="0" applyFill="1"/>
    <xf numFmtId="0" fontId="39" fillId="0" borderId="0" xfId="0" applyFont="1" applyAlignment="1">
      <alignment horizontal="center"/>
    </xf>
    <xf numFmtId="0" fontId="39" fillId="7" borderId="0" xfId="0" applyFont="1" applyFill="1" applyAlignment="1">
      <alignment horizontal="left" wrapText="1"/>
    </xf>
    <xf numFmtId="0" fontId="39" fillId="7" borderId="0" xfId="0" applyFont="1" applyFill="1" applyAlignment="1">
      <alignment horizontal="center" wrapText="1"/>
    </xf>
    <xf numFmtId="182" fontId="38" fillId="0" borderId="0" xfId="0" applyNumberFormat="1" applyFont="1" applyAlignment="1">
      <alignment horizontal="center"/>
    </xf>
    <xf numFmtId="181" fontId="38" fillId="0" borderId="0" xfId="0" applyNumberFormat="1" applyFont="1" applyAlignment="1">
      <alignment horizontal="center"/>
    </xf>
    <xf numFmtId="0" fontId="39" fillId="7" borderId="0" xfId="0" applyFont="1" applyFill="1" applyAlignment="1">
      <alignment horizontal="center"/>
    </xf>
    <xf numFmtId="178" fontId="38" fillId="0" borderId="0" xfId="0" applyNumberFormat="1" applyFont="1" applyAlignment="1">
      <alignment horizontal="center"/>
    </xf>
    <xf numFmtId="178" fontId="39" fillId="0" borderId="0" xfId="0" applyNumberFormat="1" applyFont="1" applyAlignment="1">
      <alignment horizontal="center"/>
    </xf>
    <xf numFmtId="1" fontId="39" fillId="7" borderId="0" xfId="0" applyNumberFormat="1" applyFont="1" applyFill="1" applyAlignment="1">
      <alignment horizontal="center"/>
    </xf>
    <xf numFmtId="181" fontId="40" fillId="0" borderId="0" xfId="0" applyNumberFormat="1" applyFont="1" applyAlignment="1">
      <alignment horizontal="center"/>
    </xf>
    <xf numFmtId="2" fontId="38" fillId="0" borderId="0" xfId="0" applyNumberFormat="1" applyFont="1" applyAlignment="1">
      <alignment horizontal="center"/>
    </xf>
    <xf numFmtId="1" fontId="36" fillId="0" borderId="0" xfId="0" applyNumberFormat="1" applyFont="1" applyAlignment="1">
      <alignment horizontal="center"/>
    </xf>
    <xf numFmtId="180" fontId="39" fillId="0" borderId="0" xfId="0" applyNumberFormat="1" applyFont="1" applyAlignment="1">
      <alignment horizontal="center"/>
    </xf>
    <xf numFmtId="180" fontId="38" fillId="0" borderId="0" xfId="0" applyNumberFormat="1" applyFont="1" applyAlignment="1">
      <alignment horizontal="center"/>
    </xf>
    <xf numFmtId="0" fontId="37" fillId="6" borderId="0" xfId="0" applyFont="1" applyFill="1" applyAlignment="1">
      <alignment horizontal="left"/>
    </xf>
    <xf numFmtId="0" fontId="37" fillId="6" borderId="0" xfId="0" applyFont="1" applyFill="1" applyAlignment="1">
      <alignment horizontal="center"/>
    </xf>
    <xf numFmtId="183" fontId="38" fillId="0" borderId="0" xfId="0" applyNumberFormat="1" applyFont="1" applyAlignment="1">
      <alignment horizontal="center"/>
    </xf>
    <xf numFmtId="0" fontId="39" fillId="8" borderId="0" xfId="0" applyFont="1" applyFill="1"/>
    <xf numFmtId="1" fontId="39" fillId="8" borderId="0" xfId="0" applyNumberFormat="1" applyFont="1" applyFill="1" applyAlignment="1">
      <alignment horizontal="center"/>
    </xf>
    <xf numFmtId="0" fontId="39" fillId="9" borderId="0" xfId="0" applyFont="1" applyFill="1" applyAlignment="1">
      <alignment horizontal="center"/>
    </xf>
    <xf numFmtId="0" fontId="39" fillId="8" borderId="0" xfId="0" applyFont="1" applyFill="1" applyAlignment="1">
      <alignment horizontal="center"/>
    </xf>
    <xf numFmtId="0" fontId="36" fillId="8" borderId="0" xfId="0" applyFont="1" applyFill="1"/>
    <xf numFmtId="0" fontId="0" fillId="8" borderId="0" xfId="0" applyFill="1"/>
    <xf numFmtId="9" fontId="41" fillId="0" borderId="0" xfId="0" applyNumberFormat="1" applyFont="1" applyAlignment="1">
      <alignment horizontal="center"/>
    </xf>
    <xf numFmtId="0" fontId="38" fillId="8" borderId="0" xfId="0" applyFont="1" applyFill="1"/>
    <xf numFmtId="9" fontId="41" fillId="8" borderId="0" xfId="0" applyNumberFormat="1" applyFont="1" applyFill="1" applyAlignment="1">
      <alignment horizontal="center"/>
    </xf>
    <xf numFmtId="180" fontId="40" fillId="0" borderId="0" xfId="0" applyNumberFormat="1" applyFont="1" applyAlignment="1">
      <alignment horizontal="center"/>
    </xf>
    <xf numFmtId="179" fontId="41" fillId="0" borderId="0" xfId="0" applyNumberFormat="1" applyFont="1"/>
    <xf numFmtId="1" fontId="41" fillId="0" borderId="0" xfId="0" applyNumberFormat="1" applyFont="1"/>
    <xf numFmtId="184" fontId="41" fillId="0" borderId="0" xfId="0" applyNumberFormat="1" applyFont="1"/>
    <xf numFmtId="180" fontId="40" fillId="0" borderId="0" xfId="0" applyNumberFormat="1" applyFont="1"/>
    <xf numFmtId="1" fontId="41" fillId="8" borderId="0" xfId="0" applyNumberFormat="1" applyFont="1" applyFill="1"/>
    <xf numFmtId="9" fontId="40" fillId="0" borderId="0" xfId="0" applyNumberFormat="1" applyFont="1"/>
    <xf numFmtId="0" fontId="37" fillId="6" borderId="0" xfId="0" applyFont="1" applyFill="1" applyAlignment="1">
      <alignment horizontal="center" wrapText="1"/>
    </xf>
    <xf numFmtId="0" fontId="40" fillId="0" borderId="0" xfId="0" applyFont="1"/>
    <xf numFmtId="2" fontId="40" fillId="0" borderId="0" xfId="0" applyNumberFormat="1" applyFont="1"/>
    <xf numFmtId="181" fontId="40" fillId="0" borderId="0" xfId="0" applyNumberFormat="1" applyFont="1"/>
    <xf numFmtId="180" fontId="38" fillId="0" borderId="0" xfId="0" applyNumberFormat="1" applyFont="1"/>
    <xf numFmtId="2" fontId="38" fillId="0" borderId="0" xfId="0" applyNumberFormat="1" applyFont="1"/>
    <xf numFmtId="2" fontId="39" fillId="0" borderId="0" xfId="0" applyNumberFormat="1" applyFont="1"/>
    <xf numFmtId="185" fontId="38" fillId="0" borderId="0" xfId="0" applyNumberFormat="1" applyFont="1"/>
    <xf numFmtId="185" fontId="40" fillId="0" borderId="0" xfId="0" applyNumberFormat="1" applyFont="1"/>
    <xf numFmtId="10" fontId="40" fillId="0" borderId="0" xfId="0" applyNumberFormat="1" applyFont="1"/>
    <xf numFmtId="10" fontId="38" fillId="0" borderId="0" xfId="0" applyNumberFormat="1" applyFont="1"/>
    <xf numFmtId="10" fontId="39" fillId="0" borderId="0" xfId="0" applyNumberFormat="1" applyFont="1"/>
    <xf numFmtId="10" fontId="39" fillId="5" borderId="0" xfId="0" applyNumberFormat="1" applyFont="1" applyFill="1"/>
    <xf numFmtId="170" fontId="40" fillId="0" borderId="0" xfId="0" applyNumberFormat="1" applyFont="1"/>
    <xf numFmtId="1" fontId="40" fillId="0" borderId="0" xfId="0" applyNumberFormat="1" applyFont="1"/>
    <xf numFmtId="1" fontId="37" fillId="6" borderId="0" xfId="0" applyNumberFormat="1" applyFont="1" applyFill="1" applyAlignment="1">
      <alignment horizontal="center"/>
    </xf>
    <xf numFmtId="182" fontId="40" fillId="0" borderId="0" xfId="0" applyNumberFormat="1" applyFont="1"/>
    <xf numFmtId="182" fontId="38" fillId="0" borderId="0" xfId="0" applyNumberFormat="1" applyFont="1"/>
    <xf numFmtId="170" fontId="38" fillId="0" borderId="0" xfId="0" applyNumberFormat="1" applyFont="1"/>
    <xf numFmtId="181" fontId="38" fillId="0" borderId="0" xfId="0" applyNumberFormat="1" applyFont="1"/>
    <xf numFmtId="181" fontId="39" fillId="0" borderId="0" xfId="0" applyNumberFormat="1" applyFont="1"/>
    <xf numFmtId="184" fontId="38" fillId="0" borderId="0" xfId="0" applyNumberFormat="1" applyFont="1"/>
    <xf numFmtId="181" fontId="39" fillId="5" borderId="0" xfId="0" applyNumberFormat="1" applyFont="1" applyFill="1"/>
    <xf numFmtId="178" fontId="39" fillId="5" borderId="0" xfId="0" applyNumberFormat="1" applyFont="1" applyFill="1"/>
    <xf numFmtId="178" fontId="38" fillId="0" borderId="0" xfId="0" applyNumberFormat="1" applyFont="1"/>
    <xf numFmtId="180" fontId="39" fillId="0" borderId="0" xfId="0" applyNumberFormat="1" applyFont="1"/>
    <xf numFmtId="186" fontId="38" fillId="0" borderId="0" xfId="0" applyNumberFormat="1" applyFont="1"/>
    <xf numFmtId="0" fontId="21" fillId="2" borderId="0" xfId="0" applyFont="1" applyFill="1" applyAlignment="1">
      <alignment vertical="top" wrapText="1"/>
    </xf>
    <xf numFmtId="0" fontId="5" fillId="2" borderId="0" xfId="0" applyFont="1" applyFill="1" applyAlignment="1">
      <alignment horizontal="left" vertical="top" wrapText="1"/>
    </xf>
  </cellXfs>
  <cellStyles count="24">
    <cellStyle name="ColumnHeading" xfId="4" xr:uid="{00000000-0005-0000-0000-000006000000}"/>
    <cellStyle name="Comma" xfId="1" builtinId="3"/>
    <cellStyle name="CountryTitle" xfId="5" xr:uid="{00000000-0005-0000-0000-000007000000}"/>
    <cellStyle name="Currency" xfId="2" builtinId="4"/>
    <cellStyle name="Footnote 1" xfId="6" xr:uid="{00000000-0005-0000-0000-000008000000}"/>
    <cellStyle name="Normal" xfId="0" builtinId="0"/>
    <cellStyle name="Normal [0]" xfId="13" xr:uid="{00000000-0005-0000-0000-00000F000000}"/>
    <cellStyle name="Normal [2]" xfId="14" xr:uid="{00000000-0005-0000-0000-000010000000}"/>
    <cellStyle name="Normal 2" xfId="7" xr:uid="{00000000-0005-0000-0000-000009000000}"/>
    <cellStyle name="Normal 2 2" xfId="8" xr:uid="{00000000-0005-0000-0000-00000A000000}"/>
    <cellStyle name="Normal 3" xfId="9" xr:uid="{00000000-0005-0000-0000-00000B000000}"/>
    <cellStyle name="Normal 4" xfId="10" xr:uid="{00000000-0005-0000-0000-00000C000000}"/>
    <cellStyle name="Normal 5" xfId="11" xr:uid="{00000000-0005-0000-0000-00000D000000}"/>
    <cellStyle name="Normal 7" xfId="12" xr:uid="{00000000-0005-0000-0000-00000E000000}"/>
    <cellStyle name="Percent" xfId="3" builtinId="5"/>
    <cellStyle name="Percent 2" xfId="15" xr:uid="{00000000-0005-0000-0000-000011000000}"/>
    <cellStyle name="RowHeading" xfId="16" xr:uid="{00000000-0005-0000-0000-000012000000}"/>
    <cellStyle name="SubHeading" xfId="17" xr:uid="{00000000-0005-0000-0000-000013000000}"/>
    <cellStyle name="SubsidTitle" xfId="18" xr:uid="{00000000-0005-0000-0000-000014000000}"/>
    <cellStyle name="Title 2" xfId="19" xr:uid="{00000000-0005-0000-0000-000015000000}"/>
    <cellStyle name="Totals" xfId="20" xr:uid="{00000000-0005-0000-0000-000016000000}"/>
    <cellStyle name="Totals [0]" xfId="21" xr:uid="{00000000-0005-0000-0000-000017000000}"/>
    <cellStyle name="Totals [2]" xfId="22" xr:uid="{00000000-0005-0000-0000-000018000000}"/>
    <cellStyle name="Year" xfId="23" xr:uid="{00000000-0005-0000-0000-000019000000}"/>
  </cellStyles>
  <dxfs count="27">
    <dxf>
      <fill>
        <patternFill>
          <bgColor rgb="FFC6E0B4"/>
        </patternFill>
      </fill>
    </dxf>
    <dxf>
      <font>
        <b/>
        <sz val="10"/>
        <color rgb="FFC00000"/>
        <name val="Arial"/>
        <charset val="1"/>
      </font>
      <fill>
        <patternFill>
          <bgColor rgb="FFF8CBAD"/>
        </patternFill>
      </fill>
    </dxf>
    <dxf>
      <font>
        <b/>
        <sz val="10"/>
        <color rgb="FFC00000"/>
        <name val="Arial"/>
        <charset val="1"/>
      </font>
      <fill>
        <patternFill>
          <bgColor rgb="FFF8CBAD"/>
        </patternFill>
      </fill>
    </dxf>
    <dxf>
      <font>
        <b/>
        <sz val="10"/>
        <color rgb="FFC00000"/>
        <name val="Arial"/>
        <charset val="1"/>
      </font>
      <fill>
        <patternFill>
          <bgColor rgb="FFF8CBAD"/>
        </patternFill>
      </fill>
    </dxf>
    <dxf>
      <fill>
        <patternFill>
          <bgColor rgb="FFC6E0B4"/>
        </patternFill>
      </fill>
    </dxf>
    <dxf>
      <font>
        <b/>
        <sz val="10"/>
        <color rgb="FFC00000"/>
        <name val="Arial"/>
        <charset val="1"/>
      </font>
      <fill>
        <patternFill>
          <bgColor rgb="FFF8CBAD"/>
        </patternFill>
      </fill>
    </dxf>
    <dxf>
      <font>
        <b/>
        <sz val="10"/>
        <color rgb="FFC00000"/>
        <name val="Arial"/>
        <charset val="1"/>
      </font>
      <fill>
        <patternFill>
          <bgColor rgb="FFF8CBAD"/>
        </patternFill>
      </fill>
    </dxf>
    <dxf>
      <font>
        <b/>
        <sz val="10"/>
        <color rgb="FFC00000"/>
        <name val="Arial"/>
        <charset val="1"/>
      </font>
      <fill>
        <patternFill>
          <bgColor rgb="FFF8CBAD"/>
        </patternFill>
      </fill>
    </dxf>
    <dxf>
      <fill>
        <patternFill>
          <bgColor rgb="FFC6E0B4"/>
        </patternFill>
      </fill>
    </dxf>
    <dxf>
      <font>
        <b/>
        <sz val="10"/>
        <color rgb="FFC00000"/>
        <name val="Arial"/>
        <charset val="1"/>
      </font>
      <fill>
        <patternFill>
          <bgColor rgb="FFF8CBAD"/>
        </patternFill>
      </fill>
    </dxf>
    <dxf>
      <font>
        <b/>
        <sz val="10"/>
        <color rgb="FFC00000"/>
        <name val="Arial"/>
        <charset val="1"/>
      </font>
      <fill>
        <patternFill>
          <bgColor rgb="FFF8CBAD"/>
        </patternFill>
      </fill>
    </dxf>
    <dxf>
      <font>
        <b/>
        <sz val="10"/>
        <color rgb="FFC00000"/>
        <name val="Arial"/>
        <charset val="1"/>
      </font>
      <fill>
        <patternFill>
          <bgColor rgb="FFF8CBAD"/>
        </patternFill>
      </fill>
    </dxf>
    <dxf>
      <font>
        <b/>
        <sz val="10"/>
        <color rgb="FFC00000"/>
        <name val="Arial"/>
        <charset val="1"/>
      </font>
      <fill>
        <patternFill>
          <bgColor rgb="FFF8CBAD"/>
        </patternFill>
      </fill>
    </dxf>
    <dxf>
      <font>
        <b/>
        <sz val="10"/>
        <color rgb="FFC00000"/>
        <name val="Arial"/>
        <charset val="1"/>
      </font>
      <fill>
        <patternFill>
          <bgColor rgb="FFF8CBAD"/>
        </patternFill>
      </fill>
    </dxf>
    <dxf>
      <font>
        <b/>
        <sz val="10"/>
        <color rgb="FFC00000"/>
        <name val="Arial"/>
        <charset val="1"/>
      </font>
      <fill>
        <patternFill>
          <bgColor rgb="FFF8CBAD"/>
        </patternFill>
      </fill>
    </dxf>
    <dxf>
      <fill>
        <patternFill>
          <bgColor rgb="FFC6E0B4"/>
        </patternFill>
      </fill>
    </dxf>
    <dxf>
      <font>
        <b/>
        <sz val="10"/>
        <color rgb="FFC00000"/>
        <name val="Arial"/>
        <charset val="1"/>
      </font>
      <fill>
        <patternFill>
          <bgColor rgb="FFF8CBAD"/>
        </patternFill>
      </fill>
    </dxf>
    <dxf>
      <font>
        <b/>
        <sz val="10"/>
        <color rgb="FFC00000"/>
        <name val="Arial"/>
        <charset val="1"/>
      </font>
      <fill>
        <patternFill>
          <bgColor rgb="FFF8CBAD"/>
        </patternFill>
      </fill>
    </dxf>
    <dxf>
      <font>
        <b/>
        <sz val="10"/>
        <color rgb="FFC00000"/>
        <name val="Arial"/>
        <charset val="1"/>
      </font>
      <fill>
        <patternFill>
          <bgColor rgb="FFF8CBAD"/>
        </patternFill>
      </fill>
    </dxf>
    <dxf>
      <fill>
        <patternFill>
          <bgColor rgb="FFC6E0B4"/>
        </patternFill>
      </fill>
    </dxf>
    <dxf>
      <font>
        <b/>
        <sz val="10"/>
        <color rgb="FFC00000"/>
        <name val="Arial"/>
        <charset val="1"/>
      </font>
      <fill>
        <patternFill>
          <bgColor rgb="FFF8CBAD"/>
        </patternFill>
      </fill>
    </dxf>
    <dxf>
      <font>
        <b/>
        <sz val="10"/>
        <color rgb="FFC00000"/>
        <name val="Arial"/>
        <charset val="1"/>
      </font>
      <fill>
        <patternFill>
          <bgColor rgb="FFF8CBAD"/>
        </patternFill>
      </fill>
    </dxf>
    <dxf>
      <font>
        <b/>
        <sz val="10"/>
        <color rgb="FFC00000"/>
        <name val="Arial"/>
        <charset val="1"/>
      </font>
      <fill>
        <patternFill>
          <bgColor rgb="FFF8CBAD"/>
        </patternFill>
      </fill>
    </dxf>
    <dxf>
      <font>
        <b/>
        <sz val="10"/>
        <color rgb="FFC00000"/>
        <name val="Arial"/>
        <charset val="1"/>
      </font>
      <fill>
        <patternFill>
          <bgColor rgb="FFF8CBAD"/>
        </patternFill>
      </fill>
    </dxf>
    <dxf>
      <font>
        <b/>
        <sz val="10"/>
        <color rgb="FFC00000"/>
        <name val="Arial"/>
        <charset val="1"/>
      </font>
      <fill>
        <patternFill>
          <bgColor rgb="FFF8CBAD"/>
        </patternFill>
      </fill>
    </dxf>
    <dxf>
      <fill>
        <patternFill>
          <bgColor rgb="FFC6E0B4"/>
        </patternFill>
      </fill>
    </dxf>
    <dxf>
      <font>
        <b/>
        <sz val="10"/>
        <color rgb="FFC00000"/>
        <name val="Arial"/>
        <charset val="1"/>
      </font>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6E0B4"/>
      <rgbColor rgb="FF7F7F7F"/>
      <rgbColor rgb="FF9999FF"/>
      <rgbColor rgb="FF993366"/>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2E75B6"/>
      <rgbColor rgb="FF33CCCC"/>
      <rgbColor rgb="FF99CC00"/>
      <rgbColor rgb="FFFFCC00"/>
      <rgbColor rgb="FFFF9900"/>
      <rgbColor rgb="FFFF6600"/>
      <rgbColor rgb="FF595959"/>
      <rgbColor rgb="FF8B8B8B"/>
      <rgbColor rgb="FF1F3864"/>
      <rgbColor rgb="FF70AD47"/>
      <rgbColor rgb="FF13501B"/>
      <rgbColor rgb="FF275417"/>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ptos Narrow"/>
              </a:defRPr>
            </a:pPr>
            <a:r>
              <a:rPr lang="en-US" sz="1800" b="1" strike="noStrike" spc="-1">
                <a:solidFill>
                  <a:srgbClr val="000000"/>
                </a:solidFill>
                <a:latin typeface="Aptos Narrow"/>
              </a:rPr>
              <a:t>Net debt / Adj. EBITDA vs the 1.75x ceiling</a:t>
            </a:r>
          </a:p>
        </c:rich>
      </c:tx>
      <c:overlay val="0"/>
      <c:spPr>
        <a:noFill/>
        <a:ln w="0">
          <a:noFill/>
        </a:ln>
      </c:spPr>
    </c:title>
    <c:autoTitleDeleted val="0"/>
    <c:plotArea>
      <c:layout/>
      <c:lineChart>
        <c:grouping val="standard"/>
        <c:varyColors val="0"/>
        <c:ser>
          <c:idx val="0"/>
          <c:order val="0"/>
          <c:tx>
            <c:strRef>
              <c:f>Summary!$B$48</c:f>
              <c:strCache>
                <c:ptCount val="1"/>
                <c:pt idx="0">
                  <c:v>Bison: net debt / Adj. EBITDA</c:v>
                </c:pt>
              </c:strCache>
            </c:strRef>
          </c:tx>
          <c:spPr>
            <a:ln w="28080">
              <a:solidFill>
                <a:srgbClr val="2E75B6"/>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Summary!$C$47:$M$47</c:f>
              <c:numCache>
                <c:formatCode>0</c:formatCode>
                <c:ptCount val="11"/>
                <c:pt idx="0">
                  <c:v>2027</c:v>
                </c:pt>
                <c:pt idx="1">
                  <c:v>2028</c:v>
                </c:pt>
                <c:pt idx="2">
                  <c:v>2029</c:v>
                </c:pt>
                <c:pt idx="3">
                  <c:v>2030</c:v>
                </c:pt>
                <c:pt idx="4">
                  <c:v>2031</c:v>
                </c:pt>
                <c:pt idx="5">
                  <c:v>2032</c:v>
                </c:pt>
                <c:pt idx="6">
                  <c:v>2033</c:v>
                </c:pt>
                <c:pt idx="7">
                  <c:v>2034</c:v>
                </c:pt>
                <c:pt idx="8">
                  <c:v>2035</c:v>
                </c:pt>
                <c:pt idx="9">
                  <c:v>2036</c:v>
                </c:pt>
                <c:pt idx="10">
                  <c:v>2037</c:v>
                </c:pt>
              </c:numCache>
            </c:numRef>
          </c:cat>
          <c:val>
            <c:numRef>
              <c:f>Summary!$C$48:$M$48</c:f>
              <c:numCache>
                <c:formatCode>0.00\x</c:formatCode>
                <c:ptCount val="11"/>
                <c:pt idx="0">
                  <c:v>1.6363113121027166</c:v>
                </c:pt>
                <c:pt idx="1">
                  <c:v>1.4649146691552244</c:v>
                </c:pt>
                <c:pt idx="2">
                  <c:v>1.3721363384905445</c:v>
                </c:pt>
                <c:pt idx="3">
                  <c:v>1.2808396706133183</c:v>
                </c:pt>
                <c:pt idx="4">
                  <c:v>1.1946413223168335</c:v>
                </c:pt>
                <c:pt idx="5">
                  <c:v>1.1131410314997412</c:v>
                </c:pt>
                <c:pt idx="6">
                  <c:v>1.0364765203445474</c:v>
                </c:pt>
                <c:pt idx="7">
                  <c:v>0.96447541118252955</c:v>
                </c:pt>
                <c:pt idx="8">
                  <c:v>0.89733727631146831</c:v>
                </c:pt>
                <c:pt idx="9">
                  <c:v>0.83461051105139894</c:v>
                </c:pt>
                <c:pt idx="10">
                  <c:v>0.78566397753439399</c:v>
                </c:pt>
              </c:numCache>
            </c:numRef>
          </c:val>
          <c:smooth val="0"/>
          <c:extLst>
            <c:ext xmlns:c16="http://schemas.microsoft.com/office/drawing/2014/chart" uri="{C3380CC4-5D6E-409C-BE32-E72D297353CC}">
              <c16:uniqueId val="{00000000-1C3F-47AC-A589-9B9784470050}"/>
            </c:ext>
          </c:extLst>
        </c:ser>
        <c:ser>
          <c:idx val="1"/>
          <c:order val="1"/>
          <c:tx>
            <c:strRef>
              <c:f>Summary!$B$49</c:f>
              <c:strCache>
                <c:ptCount val="1"/>
                <c:pt idx="0">
                  <c:v>Fennec: net debt / Adj. EBITDA</c:v>
                </c:pt>
              </c:strCache>
            </c:strRef>
          </c:tx>
          <c:spPr>
            <a:ln w="28080">
              <a:solidFill>
                <a:srgbClr val="70AD47"/>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Summary!$C$47:$M$47</c:f>
              <c:numCache>
                <c:formatCode>0</c:formatCode>
                <c:ptCount val="11"/>
                <c:pt idx="0">
                  <c:v>2027</c:v>
                </c:pt>
                <c:pt idx="1">
                  <c:v>2028</c:v>
                </c:pt>
                <c:pt idx="2">
                  <c:v>2029</c:v>
                </c:pt>
                <c:pt idx="3">
                  <c:v>2030</c:v>
                </c:pt>
                <c:pt idx="4">
                  <c:v>2031</c:v>
                </c:pt>
                <c:pt idx="5">
                  <c:v>2032</c:v>
                </c:pt>
                <c:pt idx="6">
                  <c:v>2033</c:v>
                </c:pt>
                <c:pt idx="7">
                  <c:v>2034</c:v>
                </c:pt>
                <c:pt idx="8">
                  <c:v>2035</c:v>
                </c:pt>
                <c:pt idx="9">
                  <c:v>2036</c:v>
                </c:pt>
                <c:pt idx="10">
                  <c:v>2037</c:v>
                </c:pt>
              </c:numCache>
            </c:numRef>
          </c:cat>
          <c:val>
            <c:numRef>
              <c:f>Summary!$C$49:$M$49</c:f>
              <c:numCache>
                <c:formatCode>0.00\x</c:formatCode>
                <c:ptCount val="11"/>
                <c:pt idx="0">
                  <c:v>1.6152282765672603</c:v>
                </c:pt>
                <c:pt idx="1">
                  <c:v>1.6436648702078189</c:v>
                </c:pt>
                <c:pt idx="2">
                  <c:v>1.6697357099802692</c:v>
                </c:pt>
                <c:pt idx="3">
                  <c:v>1.3683290982117977</c:v>
                </c:pt>
                <c:pt idx="4">
                  <c:v>1.2362639949866754</c:v>
                </c:pt>
                <c:pt idx="5">
                  <c:v>1.111107789853375</c:v>
                </c:pt>
                <c:pt idx="6">
                  <c:v>0.99268231441124621</c:v>
                </c:pt>
                <c:pt idx="7">
                  <c:v>0.88081301402706047</c:v>
                </c:pt>
                <c:pt idx="8">
                  <c:v>0.77532903475426274</c:v>
                </c:pt>
                <c:pt idx="9">
                  <c:v>0.67606329857464809</c:v>
                </c:pt>
                <c:pt idx="10">
                  <c:v>0.6190901742839372</c:v>
                </c:pt>
              </c:numCache>
            </c:numRef>
          </c:val>
          <c:smooth val="0"/>
          <c:extLst>
            <c:ext xmlns:c16="http://schemas.microsoft.com/office/drawing/2014/chart" uri="{C3380CC4-5D6E-409C-BE32-E72D297353CC}">
              <c16:uniqueId val="{00000001-1C3F-47AC-A589-9B9784470050}"/>
            </c:ext>
          </c:extLst>
        </c:ser>
        <c:ser>
          <c:idx val="2"/>
          <c:order val="2"/>
          <c:tx>
            <c:strRef>
              <c:f>Summary!$B$50</c:f>
              <c:strCache>
                <c:ptCount val="1"/>
                <c:pt idx="0">
                  <c:v>Puma: net debt / Adj. EBITDA</c:v>
                </c:pt>
              </c:strCache>
            </c:strRef>
          </c:tx>
          <c:spPr>
            <a:ln w="28080">
              <a:solidFill>
                <a:srgbClr val="C0000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Summary!$C$47:$M$47</c:f>
              <c:numCache>
                <c:formatCode>0</c:formatCode>
                <c:ptCount val="11"/>
                <c:pt idx="0">
                  <c:v>2027</c:v>
                </c:pt>
                <c:pt idx="1">
                  <c:v>2028</c:v>
                </c:pt>
                <c:pt idx="2">
                  <c:v>2029</c:v>
                </c:pt>
                <c:pt idx="3">
                  <c:v>2030</c:v>
                </c:pt>
                <c:pt idx="4">
                  <c:v>2031</c:v>
                </c:pt>
                <c:pt idx="5">
                  <c:v>2032</c:v>
                </c:pt>
                <c:pt idx="6">
                  <c:v>2033</c:v>
                </c:pt>
                <c:pt idx="7">
                  <c:v>2034</c:v>
                </c:pt>
                <c:pt idx="8">
                  <c:v>2035</c:v>
                </c:pt>
                <c:pt idx="9">
                  <c:v>2036</c:v>
                </c:pt>
                <c:pt idx="10">
                  <c:v>2037</c:v>
                </c:pt>
              </c:numCache>
            </c:numRef>
          </c:cat>
          <c:val>
            <c:numRef>
              <c:f>Summary!$C$50:$M$50</c:f>
              <c:numCache>
                <c:formatCode>0.00\x</c:formatCode>
                <c:ptCount val="11"/>
                <c:pt idx="0">
                  <c:v>1.6995604187090858</c:v>
                </c:pt>
                <c:pt idx="1">
                  <c:v>1.8074166025220428</c:v>
                </c:pt>
                <c:pt idx="2">
                  <c:v>1.908209106554382</c:v>
                </c:pt>
                <c:pt idx="3">
                  <c:v>2.0023279776157068</c:v>
                </c:pt>
                <c:pt idx="4">
                  <c:v>2.0901478942743719</c:v>
                </c:pt>
                <c:pt idx="5">
                  <c:v>1.4881996550886736</c:v>
                </c:pt>
                <c:pt idx="6">
                  <c:v>1.2894839768629169</c:v>
                </c:pt>
                <c:pt idx="7">
                  <c:v>1.10012058447828</c:v>
                </c:pt>
                <c:pt idx="8">
                  <c:v>0.91990948555181506</c:v>
                </c:pt>
                <c:pt idx="9">
                  <c:v>0.74865162684042341</c:v>
                </c:pt>
                <c:pt idx="10">
                  <c:v>0.58614915755005315</c:v>
                </c:pt>
              </c:numCache>
            </c:numRef>
          </c:val>
          <c:smooth val="0"/>
          <c:extLst>
            <c:ext xmlns:c16="http://schemas.microsoft.com/office/drawing/2014/chart" uri="{C3380CC4-5D6E-409C-BE32-E72D297353CC}">
              <c16:uniqueId val="{00000002-1C3F-47AC-A589-9B9784470050}"/>
            </c:ext>
          </c:extLst>
        </c:ser>
        <c:ser>
          <c:idx val="3"/>
          <c:order val="3"/>
          <c:tx>
            <c:strRef>
              <c:f>Summary!$B$51</c:f>
              <c:strCache>
                <c:ptCount val="1"/>
                <c:pt idx="0">
                  <c:v>Ceiling</c:v>
                </c:pt>
              </c:strCache>
            </c:strRef>
          </c:tx>
          <c:spPr>
            <a:ln w="28080">
              <a:solidFill>
                <a:srgbClr val="7F7F7F"/>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Summary!$C$47:$M$47</c:f>
              <c:numCache>
                <c:formatCode>0</c:formatCode>
                <c:ptCount val="11"/>
                <c:pt idx="0">
                  <c:v>2027</c:v>
                </c:pt>
                <c:pt idx="1">
                  <c:v>2028</c:v>
                </c:pt>
                <c:pt idx="2">
                  <c:v>2029</c:v>
                </c:pt>
                <c:pt idx="3">
                  <c:v>2030</c:v>
                </c:pt>
                <c:pt idx="4">
                  <c:v>2031</c:v>
                </c:pt>
                <c:pt idx="5">
                  <c:v>2032</c:v>
                </c:pt>
                <c:pt idx="6">
                  <c:v>2033</c:v>
                </c:pt>
                <c:pt idx="7">
                  <c:v>2034</c:v>
                </c:pt>
                <c:pt idx="8">
                  <c:v>2035</c:v>
                </c:pt>
                <c:pt idx="9">
                  <c:v>2036</c:v>
                </c:pt>
                <c:pt idx="10">
                  <c:v>2037</c:v>
                </c:pt>
              </c:numCache>
            </c:numRef>
          </c:cat>
          <c:val>
            <c:numRef>
              <c:f>Summary!$C$51:$M$51</c:f>
              <c:numCache>
                <c:formatCode>0.00\x</c:formatCode>
                <c:ptCount val="11"/>
                <c:pt idx="0">
                  <c:v>1.75</c:v>
                </c:pt>
                <c:pt idx="1">
                  <c:v>1.75</c:v>
                </c:pt>
                <c:pt idx="2">
                  <c:v>1.75</c:v>
                </c:pt>
                <c:pt idx="3">
                  <c:v>1.75</c:v>
                </c:pt>
                <c:pt idx="4">
                  <c:v>1.75</c:v>
                </c:pt>
                <c:pt idx="5">
                  <c:v>1.75</c:v>
                </c:pt>
                <c:pt idx="6">
                  <c:v>1.75</c:v>
                </c:pt>
                <c:pt idx="7">
                  <c:v>1.75</c:v>
                </c:pt>
                <c:pt idx="8">
                  <c:v>1.75</c:v>
                </c:pt>
                <c:pt idx="9">
                  <c:v>1.75</c:v>
                </c:pt>
                <c:pt idx="10">
                  <c:v>1.75</c:v>
                </c:pt>
              </c:numCache>
            </c:numRef>
          </c:val>
          <c:smooth val="0"/>
          <c:extLst>
            <c:ext xmlns:c16="http://schemas.microsoft.com/office/drawing/2014/chart" uri="{C3380CC4-5D6E-409C-BE32-E72D297353CC}">
              <c16:uniqueId val="{00000003-1C3F-47AC-A589-9B9784470050}"/>
            </c:ext>
          </c:extLst>
        </c:ser>
        <c:dLbls>
          <c:showLegendKey val="0"/>
          <c:showVal val="0"/>
          <c:showCatName val="0"/>
          <c:showSerName val="0"/>
          <c:showPercent val="0"/>
          <c:showBubbleSize val="0"/>
        </c:dLbls>
        <c:hiLowLines>
          <c:spPr>
            <a:ln w="0">
              <a:noFill/>
            </a:ln>
          </c:spPr>
        </c:hiLowLines>
        <c:smooth val="0"/>
        <c:axId val="15121961"/>
        <c:axId val="44829793"/>
      </c:lineChart>
      <c:catAx>
        <c:axId val="15121961"/>
        <c:scaling>
          <c:orientation val="minMax"/>
        </c:scaling>
        <c:delete val="0"/>
        <c:axPos val="b"/>
        <c:numFmt formatCode="0"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44829793"/>
        <c:crosses val="autoZero"/>
        <c:auto val="1"/>
        <c:lblAlgn val="ctr"/>
        <c:lblOffset val="100"/>
        <c:noMultiLvlLbl val="0"/>
      </c:catAx>
      <c:valAx>
        <c:axId val="44829793"/>
        <c:scaling>
          <c:orientation val="minMax"/>
          <c:max val="2.2000000000000002"/>
          <c:min val="0.5"/>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Aptos Narrow"/>
                  </a:defRPr>
                </a:pPr>
                <a:r>
                  <a:rPr lang="en-US" sz="1000" b="1" strike="noStrike" spc="-1">
                    <a:solidFill>
                      <a:srgbClr val="000000"/>
                    </a:solidFill>
                    <a:latin typeface="Aptos Narrow"/>
                  </a:rPr>
                  <a:t>x</a:t>
                </a:r>
              </a:p>
            </c:rich>
          </c:tx>
          <c:overlay val="0"/>
          <c:spPr>
            <a:noFill/>
            <a:ln w="0">
              <a:noFill/>
            </a:ln>
          </c:spPr>
        </c:title>
        <c:numFmt formatCode="0.0\x"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1512196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52</xdr:row>
      <xdr:rowOff>160560</xdr:rowOff>
    </xdr:from>
    <xdr:to>
      <xdr:col>3</xdr:col>
      <xdr:colOff>705960</xdr:colOff>
      <xdr:row>67</xdr:row>
      <xdr:rowOff>182880</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32" displayName="Table132" ref="B4:E42" totalsRowShown="0">
  <autoFilter ref="B4:E42" xr:uid="{00000000-0009-0000-0100-000001000000}">
    <filterColumn colId="0" hiddenButton="1"/>
    <filterColumn colId="1" hiddenButton="1"/>
    <filterColumn colId="2" hiddenButton="1"/>
    <filterColumn colId="3" hiddenButton="1"/>
  </autoFilter>
  <tableColumns count="4">
    <tableColumn id="1" xr3:uid="{00000000-0010-0000-0000-000001000000}" name="Assumption"/>
    <tableColumn id="2" xr3:uid="{00000000-0010-0000-0000-000002000000}" name="Value"/>
    <tableColumn id="3" xr3:uid="{00000000-0010-0000-0000-000003000000}" name="Unit"/>
    <tableColumn id="4" xr3:uid="{00000000-0010-0000-0000-000004000000}" name="Comment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4"/>
  <sheetViews>
    <sheetView showGridLines="0" zoomScaleNormal="100" workbookViewId="0">
      <selection activeCell="E26" sqref="E26"/>
    </sheetView>
  </sheetViews>
  <sheetFormatPr defaultColWidth="8.7109375" defaultRowHeight="12.95"/>
  <cols>
    <col min="1" max="1" width="4.42578125" style="2" customWidth="1"/>
    <col min="2" max="2" width="38.7109375" style="2" customWidth="1"/>
    <col min="3" max="3" width="11" style="3" customWidth="1"/>
    <col min="4" max="4" width="19.42578125" style="2" customWidth="1"/>
    <col min="5" max="5" width="32.28515625" style="2" customWidth="1"/>
    <col min="6" max="6" width="8.7109375" style="2"/>
    <col min="7" max="7" width="16.28515625" style="2" customWidth="1"/>
    <col min="8" max="16384" width="8.7109375" style="2"/>
  </cols>
  <sheetData>
    <row r="1" spans="1:7">
      <c r="A1" s="4"/>
      <c r="B1" s="4"/>
      <c r="C1" s="5"/>
      <c r="D1" s="4"/>
      <c r="E1" s="4"/>
      <c r="F1" s="4"/>
    </row>
    <row r="2" spans="1:7">
      <c r="A2" s="4"/>
      <c r="B2" s="6" t="s">
        <v>0</v>
      </c>
      <c r="C2" s="5"/>
      <c r="D2" s="4"/>
      <c r="E2" s="4"/>
      <c r="F2" s="4"/>
    </row>
    <row r="3" spans="1:7">
      <c r="A3" s="4"/>
      <c r="B3" s="4"/>
      <c r="C3" s="5"/>
      <c r="D3" s="4"/>
      <c r="E3" s="4"/>
      <c r="F3" s="4"/>
    </row>
    <row r="4" spans="1:7" ht="14.1">
      <c r="A4" s="4"/>
      <c r="B4" s="7" t="s">
        <v>1</v>
      </c>
      <c r="C4" s="8" t="s">
        <v>2</v>
      </c>
      <c r="D4" s="8" t="s">
        <v>3</v>
      </c>
      <c r="E4" s="7" t="s">
        <v>4</v>
      </c>
      <c r="F4" s="4"/>
    </row>
    <row r="5" spans="1:7" ht="14.1">
      <c r="A5" s="4"/>
      <c r="B5" s="9" t="s">
        <v>5</v>
      </c>
      <c r="C5" s="10"/>
      <c r="D5" s="10"/>
      <c r="E5" s="9"/>
      <c r="F5" s="4"/>
    </row>
    <row r="6" spans="1:7" ht="14.1">
      <c r="A6" s="4"/>
      <c r="B6" s="4" t="s">
        <v>6</v>
      </c>
      <c r="C6" s="11">
        <v>0.21</v>
      </c>
      <c r="D6" s="5"/>
      <c r="E6" s="4"/>
      <c r="F6" s="4"/>
    </row>
    <row r="7" spans="1:7" ht="14.1">
      <c r="A7" s="4"/>
      <c r="B7" s="4" t="s">
        <v>7</v>
      </c>
      <c r="C7" s="12">
        <v>0.04</v>
      </c>
      <c r="D7" s="5"/>
      <c r="E7" s="4"/>
      <c r="F7" s="4"/>
    </row>
    <row r="8" spans="1:7" ht="14.1">
      <c r="A8" s="4"/>
      <c r="B8" s="4" t="s">
        <v>8</v>
      </c>
      <c r="C8" s="12">
        <v>5.5E-2</v>
      </c>
      <c r="D8" s="13"/>
      <c r="E8" s="4"/>
      <c r="F8" s="4"/>
    </row>
    <row r="9" spans="1:7">
      <c r="A9" s="4"/>
      <c r="B9" s="4"/>
      <c r="C9" s="12"/>
      <c r="D9" s="13"/>
      <c r="E9" s="4"/>
      <c r="F9" s="4"/>
      <c r="G9" s="4"/>
    </row>
    <row r="10" spans="1:7" ht="14.1">
      <c r="A10" s="4"/>
      <c r="B10" s="9" t="s">
        <v>9</v>
      </c>
      <c r="C10" s="12"/>
      <c r="D10" s="13"/>
      <c r="E10" s="4"/>
      <c r="F10" s="4"/>
    </row>
    <row r="11" spans="1:7" ht="14.1">
      <c r="A11" s="4"/>
      <c r="B11" s="4" t="s">
        <v>10</v>
      </c>
      <c r="C11" s="14">
        <v>2</v>
      </c>
      <c r="D11" s="13" t="s">
        <v>11</v>
      </c>
      <c r="E11" s="4" t="s">
        <v>12</v>
      </c>
      <c r="F11" s="4"/>
    </row>
    <row r="12" spans="1:7" ht="12" customHeight="1">
      <c r="A12" s="4"/>
      <c r="B12" s="4" t="s">
        <v>13</v>
      </c>
      <c r="C12" s="11">
        <v>0.15</v>
      </c>
      <c r="D12" s="13" t="s">
        <v>14</v>
      </c>
      <c r="E12" s="13"/>
      <c r="F12" s="4"/>
    </row>
    <row r="13" spans="1:7" ht="14.1">
      <c r="A13" s="4"/>
      <c r="B13" s="2" t="s">
        <v>15</v>
      </c>
      <c r="C13" s="15">
        <v>15</v>
      </c>
      <c r="D13" s="16" t="s">
        <v>16</v>
      </c>
      <c r="F13" s="4"/>
    </row>
    <row r="14" spans="1:7" ht="14.1">
      <c r="A14" s="4"/>
      <c r="B14" s="4" t="s">
        <v>17</v>
      </c>
      <c r="C14" s="17">
        <v>2</v>
      </c>
      <c r="D14" s="13" t="s">
        <v>16</v>
      </c>
      <c r="E14" s="4"/>
      <c r="F14" s="4"/>
    </row>
    <row r="15" spans="1:7" ht="14.1">
      <c r="A15" s="4"/>
      <c r="B15" s="4" t="s">
        <v>18</v>
      </c>
      <c r="C15" s="5">
        <v>10</v>
      </c>
      <c r="D15" s="13" t="s">
        <v>19</v>
      </c>
      <c r="E15" s="4" t="str">
        <f>_xlfn.CONCAT("$",C11,"B Total Value - Straight Line")</f>
        <v>$2B Total Value - Straight Line</v>
      </c>
      <c r="F15" s="4"/>
    </row>
    <row r="16" spans="1:7" ht="14.1">
      <c r="A16" s="4"/>
      <c r="B16" s="4" t="s">
        <v>20</v>
      </c>
      <c r="C16" s="17">
        <v>2</v>
      </c>
      <c r="D16" s="13" t="s">
        <v>16</v>
      </c>
      <c r="E16" s="4"/>
      <c r="F16" s="4"/>
    </row>
    <row r="17" spans="1:6" ht="14.1">
      <c r="A17" s="4"/>
      <c r="B17" s="4" t="s">
        <v>21</v>
      </c>
      <c r="C17" s="14">
        <v>200</v>
      </c>
      <c r="D17" s="13" t="s">
        <v>22</v>
      </c>
      <c r="E17" s="4"/>
      <c r="F17" s="4"/>
    </row>
    <row r="18" spans="1:6" ht="14.1">
      <c r="A18" s="4"/>
      <c r="B18" s="4" t="s">
        <v>23</v>
      </c>
      <c r="C18" s="14">
        <v>1</v>
      </c>
      <c r="D18" s="13" t="s">
        <v>19</v>
      </c>
      <c r="E18" s="4" t="s">
        <v>24</v>
      </c>
      <c r="F18" s="4"/>
    </row>
    <row r="19" spans="1:6" ht="12" customHeight="1">
      <c r="A19" s="4"/>
      <c r="B19" s="4"/>
      <c r="C19" s="18"/>
      <c r="D19" s="13"/>
      <c r="E19" s="4"/>
      <c r="F19" s="4"/>
    </row>
    <row r="20" spans="1:6" ht="12" customHeight="1">
      <c r="A20" s="4"/>
      <c r="B20" s="4"/>
      <c r="C20" s="12"/>
      <c r="D20" s="13"/>
      <c r="E20" s="4"/>
      <c r="F20" s="4"/>
    </row>
    <row r="21" spans="1:6" ht="12" customHeight="1">
      <c r="A21" s="4"/>
      <c r="B21" s="9" t="s">
        <v>25</v>
      </c>
      <c r="C21" s="19"/>
      <c r="D21" s="20"/>
      <c r="E21" s="21"/>
      <c r="F21" s="4"/>
    </row>
    <row r="22" spans="1:6" ht="12" customHeight="1">
      <c r="A22" s="4"/>
      <c r="B22" s="22" t="s">
        <v>10</v>
      </c>
      <c r="C22" s="14">
        <v>5</v>
      </c>
      <c r="D22" s="13" t="s">
        <v>11</v>
      </c>
      <c r="E22" s="4" t="s">
        <v>12</v>
      </c>
      <c r="F22" s="4"/>
    </row>
    <row r="23" spans="1:6" ht="12" customHeight="1">
      <c r="A23" s="4"/>
      <c r="B23" s="4" t="s">
        <v>13</v>
      </c>
      <c r="C23" s="11">
        <v>0.3</v>
      </c>
      <c r="D23" s="13" t="s">
        <v>14</v>
      </c>
      <c r="E23" s="13"/>
      <c r="F23" s="4"/>
    </row>
    <row r="24" spans="1:6" ht="12" customHeight="1">
      <c r="A24" s="4"/>
      <c r="B24" s="2" t="s">
        <v>15</v>
      </c>
      <c r="C24" s="15">
        <v>14</v>
      </c>
      <c r="D24" s="16" t="s">
        <v>16</v>
      </c>
      <c r="F24" s="4"/>
    </row>
    <row r="25" spans="1:6" ht="12" customHeight="1">
      <c r="A25" s="4"/>
      <c r="B25" s="4" t="s">
        <v>17</v>
      </c>
      <c r="C25" s="17">
        <v>3.5</v>
      </c>
      <c r="D25" s="13" t="s">
        <v>16</v>
      </c>
      <c r="E25" s="4"/>
      <c r="F25" s="4"/>
    </row>
    <row r="26" spans="1:6" ht="12" customHeight="1">
      <c r="A26" s="4"/>
      <c r="B26" s="4" t="s">
        <v>18</v>
      </c>
      <c r="C26" s="5">
        <v>15</v>
      </c>
      <c r="D26" s="13" t="s">
        <v>19</v>
      </c>
      <c r="E26" s="4" t="str">
        <f>_xlfn.CONCAT("$",C22,"B Total Value - Straight Line")</f>
        <v>$5B Total Value - Straight Line</v>
      </c>
      <c r="F26" s="4"/>
    </row>
    <row r="27" spans="1:6" ht="12" customHeight="1">
      <c r="A27" s="4"/>
      <c r="B27" s="4" t="s">
        <v>20</v>
      </c>
      <c r="C27" s="17">
        <v>7</v>
      </c>
      <c r="D27" s="13" t="s">
        <v>16</v>
      </c>
      <c r="E27" s="4"/>
      <c r="F27" s="4"/>
    </row>
    <row r="28" spans="1:6" ht="12" customHeight="1">
      <c r="A28" s="4"/>
      <c r="B28" s="4" t="s">
        <v>21</v>
      </c>
      <c r="C28" s="14">
        <v>350</v>
      </c>
      <c r="D28" s="13" t="s">
        <v>22</v>
      </c>
      <c r="E28" s="4"/>
      <c r="F28" s="4"/>
    </row>
    <row r="29" spans="1:6" ht="12" customHeight="1">
      <c r="A29" s="4"/>
      <c r="B29" s="4" t="s">
        <v>23</v>
      </c>
      <c r="C29" s="14">
        <v>3</v>
      </c>
      <c r="D29" s="13" t="s">
        <v>19</v>
      </c>
      <c r="E29" s="4" t="s">
        <v>26</v>
      </c>
      <c r="F29" s="4"/>
    </row>
    <row r="30" spans="1:6" ht="12" customHeight="1">
      <c r="A30" s="4"/>
      <c r="B30" s="4"/>
      <c r="C30" s="18"/>
      <c r="D30" s="13"/>
      <c r="E30" s="4"/>
      <c r="F30" s="4"/>
    </row>
    <row r="31" spans="1:6" ht="12" customHeight="1">
      <c r="A31" s="4"/>
      <c r="B31" s="4"/>
      <c r="C31" s="23"/>
      <c r="D31" s="13"/>
      <c r="E31" s="4"/>
      <c r="F31" s="4"/>
    </row>
    <row r="32" spans="1:6" ht="12" customHeight="1">
      <c r="A32" s="4"/>
      <c r="B32" s="9" t="s">
        <v>27</v>
      </c>
      <c r="C32" s="24"/>
      <c r="D32" s="13"/>
      <c r="E32" s="4"/>
      <c r="F32" s="4"/>
    </row>
    <row r="33" spans="1:6" ht="12" customHeight="1">
      <c r="A33" s="4"/>
      <c r="B33" s="22" t="s">
        <v>10</v>
      </c>
      <c r="C33" s="24">
        <v>15</v>
      </c>
      <c r="D33" s="13" t="s">
        <v>11</v>
      </c>
      <c r="E33" s="4" t="s">
        <v>12</v>
      </c>
      <c r="F33" s="4"/>
    </row>
    <row r="34" spans="1:6" ht="12" customHeight="1">
      <c r="A34" s="4"/>
      <c r="B34" s="4" t="s">
        <v>13</v>
      </c>
      <c r="C34" s="11">
        <v>0.2</v>
      </c>
      <c r="D34" s="13" t="s">
        <v>14</v>
      </c>
      <c r="E34" s="13"/>
      <c r="F34" s="4"/>
    </row>
    <row r="35" spans="1:6" ht="14.1">
      <c r="A35" s="4"/>
      <c r="B35" s="2" t="s">
        <v>15</v>
      </c>
      <c r="C35" s="15">
        <v>8</v>
      </c>
      <c r="D35" s="16" t="s">
        <v>16</v>
      </c>
      <c r="E35" s="4"/>
      <c r="F35" s="4"/>
    </row>
    <row r="36" spans="1:6" ht="14.1">
      <c r="A36" s="4"/>
      <c r="B36" s="4" t="s">
        <v>17</v>
      </c>
      <c r="C36" s="17">
        <v>3.5</v>
      </c>
      <c r="D36" s="13" t="s">
        <v>16</v>
      </c>
      <c r="E36" s="4"/>
      <c r="F36" s="4"/>
    </row>
    <row r="37" spans="1:6" ht="14.1">
      <c r="A37" s="4"/>
      <c r="B37" s="4" t="s">
        <v>18</v>
      </c>
      <c r="C37" s="5">
        <v>25</v>
      </c>
      <c r="D37" s="13" t="s">
        <v>19</v>
      </c>
      <c r="E37" s="4" t="str">
        <f>_xlfn.CONCAT("$",C33,"B Total Value - Straight Line")</f>
        <v>$15B Total Value - Straight Line</v>
      </c>
      <c r="F37" s="4"/>
    </row>
    <row r="38" spans="1:6" ht="14.1">
      <c r="A38" s="4"/>
      <c r="B38" s="4" t="s">
        <v>20</v>
      </c>
      <c r="C38" s="17">
        <v>4</v>
      </c>
      <c r="D38" s="13" t="s">
        <v>16</v>
      </c>
      <c r="E38" s="4"/>
      <c r="F38" s="4"/>
    </row>
    <row r="39" spans="1:6" ht="14.1">
      <c r="A39" s="4"/>
      <c r="B39" s="4" t="s">
        <v>21</v>
      </c>
      <c r="C39" s="14">
        <v>1000</v>
      </c>
      <c r="D39" s="13" t="s">
        <v>22</v>
      </c>
      <c r="E39" s="4"/>
      <c r="F39" s="4"/>
    </row>
    <row r="40" spans="1:6" ht="14.1">
      <c r="A40" s="4"/>
      <c r="B40" s="4" t="s">
        <v>23</v>
      </c>
      <c r="C40" s="14">
        <v>5</v>
      </c>
      <c r="D40" s="13" t="s">
        <v>19</v>
      </c>
      <c r="E40" s="4" t="s">
        <v>28</v>
      </c>
      <c r="F40" s="4"/>
    </row>
    <row r="41" spans="1:6">
      <c r="A41" s="4"/>
      <c r="B41" s="4"/>
      <c r="C41" s="24"/>
      <c r="D41" s="13"/>
      <c r="E41" s="4"/>
      <c r="F41" s="4"/>
    </row>
    <row r="42" spans="1:6">
      <c r="A42" s="4"/>
      <c r="B42" s="4"/>
      <c r="C42" s="24"/>
      <c r="D42" s="5"/>
      <c r="E42" s="4"/>
      <c r="F42" s="4"/>
    </row>
    <row r="43" spans="1:6">
      <c r="A43" s="4"/>
      <c r="B43" s="4"/>
      <c r="C43" s="5"/>
      <c r="D43" s="4"/>
      <c r="E43" s="4"/>
      <c r="F43" s="4"/>
    </row>
    <row r="44" spans="1:6">
      <c r="A44" s="4"/>
      <c r="B44" s="25" t="s">
        <v>29</v>
      </c>
      <c r="C44" s="5"/>
      <c r="D44" s="4"/>
      <c r="E44" s="4"/>
      <c r="F44" s="4"/>
    </row>
    <row r="45" spans="1:6">
      <c r="A45" s="4"/>
      <c r="B45" s="26" t="s">
        <v>30</v>
      </c>
      <c r="C45" s="5"/>
      <c r="D45" s="4"/>
      <c r="E45" s="4"/>
      <c r="F45" s="4"/>
    </row>
    <row r="46" spans="1:6">
      <c r="A46" s="4"/>
      <c r="B46" s="4"/>
      <c r="C46" s="5"/>
      <c r="D46" s="4"/>
      <c r="E46" s="4"/>
    </row>
    <row r="49" spans="3:3">
      <c r="C49" s="15"/>
    </row>
    <row r="50" spans="3:3">
      <c r="C50" s="15"/>
    </row>
    <row r="51" spans="3:3">
      <c r="C51" s="15"/>
    </row>
    <row r="53" spans="3:3">
      <c r="C53" s="15"/>
    </row>
    <row r="54" spans="3:3">
      <c r="C54" s="27"/>
    </row>
  </sheetData>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3"/>
  <sheetViews>
    <sheetView showGridLines="0" topLeftCell="A48" zoomScaleNormal="100" workbookViewId="0">
      <selection activeCell="E54" sqref="E54"/>
    </sheetView>
  </sheetViews>
  <sheetFormatPr defaultColWidth="9.28515625" defaultRowHeight="12.95"/>
  <cols>
    <col min="1" max="1" width="9.28515625" style="28"/>
    <col min="2" max="2" width="42.28515625" style="28" customWidth="1"/>
    <col min="3" max="3" width="11.7109375" style="28" customWidth="1"/>
    <col min="4" max="4" width="11.28515625" style="28" customWidth="1"/>
    <col min="5" max="5" width="13.28515625" style="28" customWidth="1"/>
    <col min="6" max="6" width="12.7109375" style="28" customWidth="1"/>
    <col min="7" max="11" width="9.28515625" style="28"/>
    <col min="12" max="12" width="18.28515625" style="28" customWidth="1"/>
    <col min="13" max="16384" width="9.28515625" style="28"/>
  </cols>
  <sheetData>
    <row r="1" spans="1:6">
      <c r="A1" s="29"/>
      <c r="B1" s="29"/>
      <c r="C1" s="29"/>
      <c r="D1" s="29"/>
      <c r="E1" s="29"/>
      <c r="F1" s="29"/>
    </row>
    <row r="2" spans="1:6">
      <c r="A2" s="29"/>
      <c r="B2" s="6" t="s">
        <v>31</v>
      </c>
      <c r="C2" s="29"/>
      <c r="D2" s="29"/>
      <c r="E2" s="29"/>
      <c r="F2" s="29"/>
    </row>
    <row r="3" spans="1:6" ht="13.5" customHeight="1">
      <c r="A3" s="29"/>
      <c r="B3" s="29"/>
      <c r="C3" s="29"/>
      <c r="D3" s="29"/>
      <c r="E3" s="29"/>
      <c r="F3" s="29"/>
    </row>
    <row r="4" spans="1:6">
      <c r="A4" s="29"/>
      <c r="B4" s="30" t="s">
        <v>32</v>
      </c>
      <c r="C4" s="31"/>
      <c r="D4" s="31"/>
      <c r="E4" s="32"/>
      <c r="F4" s="29"/>
    </row>
    <row r="5" spans="1:6">
      <c r="A5" s="29"/>
      <c r="B5" s="33" t="s">
        <v>33</v>
      </c>
      <c r="C5" s="34">
        <v>2024</v>
      </c>
      <c r="D5" s="34">
        <v>2025</v>
      </c>
      <c r="E5" s="35">
        <v>2026</v>
      </c>
      <c r="F5" s="29"/>
    </row>
    <row r="6" spans="1:6">
      <c r="A6" s="29"/>
      <c r="B6" s="36" t="s">
        <v>34</v>
      </c>
      <c r="C6" s="37">
        <v>27418</v>
      </c>
      <c r="D6" s="37">
        <v>26083</v>
      </c>
      <c r="E6" s="38">
        <v>21135</v>
      </c>
      <c r="F6" s="29"/>
    </row>
    <row r="7" spans="1:6">
      <c r="A7" s="29"/>
      <c r="B7" s="36" t="s">
        <v>35</v>
      </c>
      <c r="C7" s="37">
        <v>2905</v>
      </c>
      <c r="D7" s="37">
        <v>2643</v>
      </c>
      <c r="E7" s="38">
        <v>2382</v>
      </c>
      <c r="F7" s="29"/>
    </row>
    <row r="8" spans="1:6">
      <c r="A8" s="29"/>
      <c r="B8" s="36" t="s">
        <v>36</v>
      </c>
      <c r="C8" s="37">
        <v>6913</v>
      </c>
      <c r="D8" s="37">
        <v>9247</v>
      </c>
      <c r="E8" s="38">
        <v>8361</v>
      </c>
      <c r="F8" s="29"/>
    </row>
    <row r="9" spans="1:6">
      <c r="A9" s="29"/>
      <c r="B9" s="39" t="s">
        <v>37</v>
      </c>
      <c r="C9" s="40">
        <v>37236</v>
      </c>
      <c r="D9" s="40">
        <v>37973</v>
      </c>
      <c r="E9" s="41">
        <v>31878</v>
      </c>
      <c r="F9" s="42"/>
    </row>
    <row r="10" spans="1:6">
      <c r="A10" s="29"/>
      <c r="B10" s="36"/>
      <c r="C10" s="43"/>
      <c r="D10" s="43"/>
      <c r="E10" s="44"/>
      <c r="F10" s="29"/>
    </row>
    <row r="11" spans="1:6">
      <c r="A11" s="29"/>
      <c r="B11" s="36" t="s">
        <v>38</v>
      </c>
      <c r="C11" s="37">
        <v>22944</v>
      </c>
      <c r="D11" s="37">
        <v>22395</v>
      </c>
      <c r="E11" s="38">
        <v>16005</v>
      </c>
      <c r="F11" s="29"/>
    </row>
    <row r="12" spans="1:6">
      <c r="A12" s="29"/>
      <c r="B12" s="36" t="s">
        <v>39</v>
      </c>
      <c r="C12" s="45">
        <v>199</v>
      </c>
      <c r="D12" s="45">
        <v>228</v>
      </c>
      <c r="E12" s="46">
        <v>315</v>
      </c>
      <c r="F12" s="29"/>
    </row>
    <row r="13" spans="1:6">
      <c r="A13" s="29"/>
      <c r="B13" s="36" t="s">
        <v>40</v>
      </c>
      <c r="C13" s="45">
        <v>360</v>
      </c>
      <c r="D13" s="45">
        <v>312</v>
      </c>
      <c r="E13" s="46">
        <v>353</v>
      </c>
      <c r="F13" s="29"/>
    </row>
    <row r="14" spans="1:6">
      <c r="A14" s="29"/>
      <c r="B14" s="36" t="s">
        <v>41</v>
      </c>
      <c r="C14" s="37">
        <v>3604</v>
      </c>
      <c r="D14" s="37">
        <v>3753</v>
      </c>
      <c r="E14" s="38">
        <v>4135</v>
      </c>
      <c r="F14" s="29"/>
    </row>
    <row r="15" spans="1:6">
      <c r="A15" s="29"/>
      <c r="B15" s="36" t="s">
        <v>42</v>
      </c>
      <c r="C15" s="45">
        <v>151</v>
      </c>
      <c r="D15" s="45">
        <v>226</v>
      </c>
      <c r="E15" s="46">
        <v>163</v>
      </c>
      <c r="F15" s="29"/>
    </row>
    <row r="16" spans="1:6">
      <c r="A16" s="29"/>
      <c r="B16" s="36" t="s">
        <v>43</v>
      </c>
      <c r="C16" s="45">
        <v>337</v>
      </c>
      <c r="D16" s="45" t="s">
        <v>44</v>
      </c>
      <c r="E16" s="46">
        <v>7</v>
      </c>
      <c r="F16" s="29"/>
    </row>
    <row r="17" spans="1:6">
      <c r="A17" s="29"/>
      <c r="B17" s="39" t="s">
        <v>45</v>
      </c>
      <c r="C17" s="40">
        <v>27595</v>
      </c>
      <c r="D17" s="40">
        <v>26914</v>
      </c>
      <c r="E17" s="41">
        <v>20978</v>
      </c>
      <c r="F17" s="29"/>
    </row>
    <row r="18" spans="1:6">
      <c r="A18" s="29"/>
      <c r="B18" s="39"/>
      <c r="C18" s="43"/>
      <c r="D18" s="43"/>
      <c r="E18" s="46"/>
      <c r="F18" s="29"/>
    </row>
    <row r="19" spans="1:6">
      <c r="A19" s="29"/>
      <c r="B19" s="39" t="s">
        <v>46</v>
      </c>
      <c r="C19" s="40">
        <v>9641</v>
      </c>
      <c r="D19" s="40">
        <v>11059</v>
      </c>
      <c r="E19" s="41">
        <v>10900</v>
      </c>
      <c r="F19" s="29"/>
    </row>
    <row r="20" spans="1:6">
      <c r="A20" s="29"/>
      <c r="B20" s="39"/>
      <c r="C20" s="43"/>
      <c r="D20" s="43"/>
      <c r="E20" s="46"/>
      <c r="F20" s="29"/>
    </row>
    <row r="21" spans="1:6">
      <c r="A21" s="29"/>
      <c r="B21" s="47" t="s">
        <v>47</v>
      </c>
      <c r="C21" s="37">
        <v>1570</v>
      </c>
      <c r="D21" s="37">
        <v>1368</v>
      </c>
      <c r="E21" s="38">
        <v>1377</v>
      </c>
      <c r="F21" s="29"/>
    </row>
    <row r="22" spans="1:6">
      <c r="A22" s="29"/>
      <c r="B22" s="48" t="s">
        <v>48</v>
      </c>
      <c r="C22" s="40">
        <v>8071</v>
      </c>
      <c r="D22" s="40">
        <v>9691</v>
      </c>
      <c r="E22" s="41">
        <v>9523</v>
      </c>
      <c r="F22" s="29"/>
    </row>
    <row r="23" spans="1:6">
      <c r="A23" s="29"/>
      <c r="B23" s="47" t="s">
        <v>49</v>
      </c>
      <c r="C23" s="37">
        <v>1259</v>
      </c>
      <c r="D23" s="37">
        <v>3635</v>
      </c>
      <c r="E23" s="38">
        <v>1943</v>
      </c>
      <c r="F23" s="29"/>
    </row>
    <row r="24" spans="1:6" ht="13.5" customHeight="1">
      <c r="A24" s="29"/>
      <c r="B24" s="49" t="s">
        <v>50</v>
      </c>
      <c r="C24" s="50">
        <v>6812</v>
      </c>
      <c r="D24" s="50">
        <v>6056</v>
      </c>
      <c r="E24" s="51">
        <v>7580</v>
      </c>
      <c r="F24" s="29"/>
    </row>
    <row r="25" spans="1:6" ht="13.5" customHeight="1">
      <c r="A25" s="29"/>
      <c r="B25" s="29"/>
      <c r="C25" s="29"/>
      <c r="D25" s="29"/>
      <c r="E25" s="29"/>
      <c r="F25" s="29"/>
    </row>
    <row r="26" spans="1:6">
      <c r="A26" s="29"/>
      <c r="B26" s="30" t="s">
        <v>51</v>
      </c>
      <c r="C26" s="31"/>
      <c r="D26" s="31"/>
      <c r="E26" s="32"/>
      <c r="F26" s="29"/>
    </row>
    <row r="27" spans="1:6">
      <c r="A27" s="29"/>
      <c r="B27" s="33" t="s">
        <v>33</v>
      </c>
      <c r="C27" s="34">
        <v>2024</v>
      </c>
      <c r="D27" s="34">
        <v>2025</v>
      </c>
      <c r="E27" s="35">
        <v>2026</v>
      </c>
      <c r="F27" s="29"/>
    </row>
    <row r="28" spans="1:6">
      <c r="A28" s="29"/>
      <c r="B28" s="52" t="s">
        <v>52</v>
      </c>
      <c r="C28" s="45"/>
      <c r="D28" s="45"/>
      <c r="E28" s="46"/>
      <c r="F28" s="29"/>
    </row>
    <row r="29" spans="1:6">
      <c r="A29" s="29"/>
      <c r="B29" s="47" t="s">
        <v>53</v>
      </c>
      <c r="C29" s="37">
        <v>2450</v>
      </c>
      <c r="D29" s="45">
        <v>2450</v>
      </c>
      <c r="E29" s="38">
        <v>2446</v>
      </c>
      <c r="F29" s="29"/>
    </row>
    <row r="30" spans="1:6">
      <c r="A30" s="29"/>
      <c r="B30" s="47" t="s">
        <v>54</v>
      </c>
      <c r="C30" s="45">
        <v>745</v>
      </c>
      <c r="D30" s="45">
        <v>760</v>
      </c>
      <c r="E30" s="46">
        <v>638</v>
      </c>
      <c r="F30" s="53"/>
    </row>
    <row r="31" spans="1:6">
      <c r="A31" s="29"/>
      <c r="B31" s="47" t="s">
        <v>55</v>
      </c>
      <c r="C31" s="37">
        <v>3351</v>
      </c>
      <c r="D31" s="37">
        <v>3418</v>
      </c>
      <c r="E31" s="38">
        <v>2869</v>
      </c>
      <c r="F31" s="53"/>
    </row>
    <row r="32" spans="1:6">
      <c r="A32" s="29"/>
      <c r="B32" s="47" t="s">
        <v>56</v>
      </c>
      <c r="C32" s="45">
        <v>559</v>
      </c>
      <c r="D32" s="45">
        <v>570</v>
      </c>
      <c r="E32" s="46">
        <v>478</v>
      </c>
      <c r="F32" s="53"/>
    </row>
    <row r="33" spans="1:6">
      <c r="A33" s="29"/>
      <c r="B33" s="48" t="s">
        <v>57</v>
      </c>
      <c r="C33" s="40">
        <v>7105</v>
      </c>
      <c r="D33" s="40">
        <v>7198</v>
      </c>
      <c r="E33" s="41">
        <v>6431</v>
      </c>
      <c r="F33" s="29"/>
    </row>
    <row r="34" spans="1:6">
      <c r="A34" s="29"/>
      <c r="B34" s="52" t="s">
        <v>58</v>
      </c>
      <c r="C34" s="43"/>
      <c r="D34" s="43"/>
      <c r="E34" s="44"/>
      <c r="F34" s="29"/>
    </row>
    <row r="35" spans="1:6">
      <c r="A35" s="29"/>
      <c r="B35" s="47" t="s">
        <v>59</v>
      </c>
      <c r="C35" s="37">
        <v>36687</v>
      </c>
      <c r="D35" s="37">
        <v>40121</v>
      </c>
      <c r="E35" s="38">
        <v>45001</v>
      </c>
      <c r="F35" s="29"/>
    </row>
    <row r="36" spans="1:6">
      <c r="A36" s="29"/>
      <c r="B36" s="47" t="s">
        <v>60</v>
      </c>
      <c r="C36" s="45">
        <v>341</v>
      </c>
      <c r="D36" s="45">
        <v>347</v>
      </c>
      <c r="E36" s="46">
        <v>405</v>
      </c>
      <c r="F36" s="29"/>
    </row>
    <row r="37" spans="1:6">
      <c r="A37" s="29"/>
      <c r="B37" s="48" t="s">
        <v>61</v>
      </c>
      <c r="C37" s="40">
        <v>44133</v>
      </c>
      <c r="D37" s="40">
        <v>47666</v>
      </c>
      <c r="E37" s="40">
        <v>51837</v>
      </c>
      <c r="F37" s="53"/>
    </row>
    <row r="38" spans="1:6">
      <c r="A38" s="29"/>
      <c r="B38" s="52" t="s">
        <v>62</v>
      </c>
      <c r="C38" s="45"/>
      <c r="D38" s="45"/>
      <c r="E38" s="46"/>
      <c r="F38" s="29"/>
    </row>
    <row r="39" spans="1:6">
      <c r="A39" s="29"/>
      <c r="B39" s="47" t="s">
        <v>63</v>
      </c>
      <c r="C39" s="45">
        <v>600</v>
      </c>
      <c r="D39" s="37">
        <v>2295</v>
      </c>
      <c r="E39" s="38">
        <v>1784</v>
      </c>
      <c r="F39" s="29"/>
    </row>
    <row r="40" spans="1:6">
      <c r="A40" s="29"/>
      <c r="B40" s="47" t="s">
        <v>64</v>
      </c>
      <c r="C40" s="37">
        <v>3240</v>
      </c>
      <c r="D40" s="37">
        <v>3304</v>
      </c>
      <c r="E40" s="37">
        <v>2774</v>
      </c>
      <c r="F40" s="53"/>
    </row>
    <row r="41" spans="1:6">
      <c r="A41" s="29"/>
      <c r="B41" s="47" t="s">
        <v>65</v>
      </c>
      <c r="C41" s="37">
        <v>1474</v>
      </c>
      <c r="D41" s="37">
        <v>1213</v>
      </c>
      <c r="E41" s="38">
        <v>1923</v>
      </c>
      <c r="F41" s="29"/>
    </row>
    <row r="42" spans="1:6">
      <c r="A42" s="29"/>
      <c r="B42" s="48" t="s">
        <v>66</v>
      </c>
      <c r="C42" s="40">
        <v>5314</v>
      </c>
      <c r="D42" s="40">
        <v>6812</v>
      </c>
      <c r="E42" s="41">
        <v>6481</v>
      </c>
      <c r="F42" s="29"/>
    </row>
    <row r="43" spans="1:6">
      <c r="A43" s="29"/>
      <c r="B43" s="52" t="s">
        <v>67</v>
      </c>
      <c r="C43" s="45"/>
      <c r="D43" s="45"/>
      <c r="E43" s="46"/>
      <c r="F43" s="29"/>
    </row>
    <row r="44" spans="1:6">
      <c r="A44" s="29"/>
      <c r="B44" s="47" t="s">
        <v>68</v>
      </c>
      <c r="C44" s="37">
        <v>26274</v>
      </c>
      <c r="D44" s="37">
        <v>26057</v>
      </c>
      <c r="E44" s="38">
        <v>24841</v>
      </c>
      <c r="F44" s="29"/>
    </row>
    <row r="45" spans="1:6">
      <c r="A45" s="29"/>
      <c r="B45" s="47" t="s">
        <v>69</v>
      </c>
      <c r="C45" s="45">
        <v>221</v>
      </c>
      <c r="D45" s="45">
        <v>195</v>
      </c>
      <c r="E45" s="46">
        <v>192</v>
      </c>
      <c r="F45" s="29"/>
    </row>
    <row r="46" spans="1:6">
      <c r="A46" s="29"/>
      <c r="B46" s="47" t="s">
        <v>70</v>
      </c>
      <c r="C46" s="37">
        <v>1057</v>
      </c>
      <c r="D46" s="45">
        <v>968</v>
      </c>
      <c r="E46" s="46">
        <v>628</v>
      </c>
      <c r="F46" s="29"/>
    </row>
    <row r="47" spans="1:6">
      <c r="A47" s="29"/>
      <c r="B47" s="48" t="s">
        <v>71</v>
      </c>
      <c r="C47" s="40">
        <v>27552</v>
      </c>
      <c r="D47" s="40">
        <v>27220</v>
      </c>
      <c r="E47" s="40">
        <v>25661</v>
      </c>
      <c r="F47" s="53"/>
    </row>
    <row r="48" spans="1:6" ht="13.5" customHeight="1">
      <c r="A48" s="29"/>
      <c r="B48" s="54" t="s">
        <v>72</v>
      </c>
      <c r="C48" s="50">
        <v>11267</v>
      </c>
      <c r="D48" s="50">
        <v>13634</v>
      </c>
      <c r="E48" s="50">
        <v>19695</v>
      </c>
      <c r="F48" s="53"/>
    </row>
    <row r="49" spans="1:10" ht="13.5" customHeight="1">
      <c r="A49" s="29"/>
      <c r="B49" s="29"/>
      <c r="C49" s="55"/>
      <c r="D49" s="55"/>
      <c r="E49" s="55"/>
      <c r="F49" s="29"/>
    </row>
    <row r="50" spans="1:10">
      <c r="A50" s="29"/>
      <c r="B50" s="30" t="s">
        <v>73</v>
      </c>
      <c r="C50" s="31"/>
      <c r="D50" s="31"/>
      <c r="E50" s="32"/>
      <c r="F50" s="29"/>
    </row>
    <row r="51" spans="1:10">
      <c r="A51" s="29"/>
      <c r="B51" s="33" t="s">
        <v>33</v>
      </c>
      <c r="C51" s="34">
        <v>2024</v>
      </c>
      <c r="D51" s="34">
        <v>2025</v>
      </c>
      <c r="E51" s="35">
        <v>2026</v>
      </c>
      <c r="F51" s="29"/>
    </row>
    <row r="52" spans="1:10">
      <c r="A52" s="29"/>
      <c r="B52" s="52" t="s">
        <v>74</v>
      </c>
      <c r="C52" s="45"/>
      <c r="D52" s="45"/>
      <c r="E52" s="46"/>
      <c r="F52" s="29"/>
    </row>
    <row r="53" spans="1:10">
      <c r="A53" s="29"/>
      <c r="B53" s="47" t="s">
        <v>75</v>
      </c>
      <c r="C53" s="37">
        <v>6813</v>
      </c>
      <c r="D53" s="37">
        <v>6058</v>
      </c>
      <c r="E53" s="38">
        <v>7580</v>
      </c>
      <c r="F53" s="29"/>
    </row>
    <row r="54" spans="1:10">
      <c r="A54" s="29"/>
      <c r="B54" s="47" t="s">
        <v>41</v>
      </c>
      <c r="C54" s="37">
        <v>3604</v>
      </c>
      <c r="D54" s="37">
        <v>3753</v>
      </c>
      <c r="E54" s="38" t="e" cm="1">
        <f t="array" aca="1" ref="E54" ca="1">'Exhibit 2'!$E$76*('Exhibit 2'!I69r1+'Exhibit 12'!$D$5)^(E$16-2026)</f>
        <v>#NAME?</v>
      </c>
      <c r="F54" s="29"/>
    </row>
    <row r="55" spans="1:10">
      <c r="A55" s="29"/>
      <c r="B55" s="47" t="s">
        <v>43</v>
      </c>
      <c r="C55" s="45">
        <v>337</v>
      </c>
      <c r="D55" s="45" t="s">
        <v>44</v>
      </c>
      <c r="E55" s="46">
        <v>7</v>
      </c>
      <c r="F55" s="42"/>
    </row>
    <row r="56" spans="1:10">
      <c r="A56" s="29"/>
      <c r="B56" s="47" t="s">
        <v>76</v>
      </c>
      <c r="C56" s="37">
        <v>0</v>
      </c>
      <c r="D56" s="37">
        <v>0</v>
      </c>
      <c r="E56" s="45">
        <v>0</v>
      </c>
      <c r="F56" s="53"/>
    </row>
    <row r="57" spans="1:10">
      <c r="A57" s="29"/>
      <c r="B57" s="48" t="s">
        <v>77</v>
      </c>
      <c r="C57" s="40">
        <v>10754</v>
      </c>
      <c r="D57" s="40">
        <v>9811</v>
      </c>
      <c r="E57" s="41">
        <v>11722</v>
      </c>
      <c r="F57" s="29"/>
      <c r="G57" s="56"/>
      <c r="H57" s="57"/>
      <c r="I57" s="57"/>
      <c r="J57" s="57"/>
    </row>
    <row r="58" spans="1:10">
      <c r="A58" s="29"/>
      <c r="B58" s="52" t="s">
        <v>78</v>
      </c>
      <c r="C58" s="45"/>
      <c r="D58" s="45"/>
      <c r="E58" s="46"/>
      <c r="F58" s="29"/>
      <c r="H58" s="57"/>
      <c r="I58" s="57"/>
      <c r="J58" s="57"/>
    </row>
    <row r="59" spans="1:10">
      <c r="A59" s="29"/>
      <c r="B59" s="47" t="s">
        <v>79</v>
      </c>
      <c r="C59" s="37">
        <v>-7629</v>
      </c>
      <c r="D59" s="37">
        <v>-6684</v>
      </c>
      <c r="E59" s="38">
        <v>-8390</v>
      </c>
      <c r="F59" s="29"/>
      <c r="H59" s="57"/>
      <c r="I59" s="57"/>
      <c r="J59" s="57"/>
    </row>
    <row r="60" spans="1:10">
      <c r="A60" s="29"/>
      <c r="B60" s="47" t="s">
        <v>80</v>
      </c>
      <c r="C60" s="45">
        <v>-574</v>
      </c>
      <c r="D60" s="45">
        <v>-503</v>
      </c>
      <c r="E60" s="46">
        <v>-632</v>
      </c>
      <c r="F60" s="29"/>
    </row>
    <row r="61" spans="1:10">
      <c r="A61" s="29"/>
      <c r="B61" s="47" t="s">
        <v>81</v>
      </c>
      <c r="C61" s="45">
        <v>0</v>
      </c>
      <c r="D61" s="45">
        <v>0</v>
      </c>
      <c r="E61" s="46">
        <v>0</v>
      </c>
      <c r="F61" s="29"/>
    </row>
    <row r="62" spans="1:10">
      <c r="A62" s="29"/>
      <c r="B62" s="48" t="s">
        <v>82</v>
      </c>
      <c r="C62" s="40">
        <v>-8203</v>
      </c>
      <c r="D62" s="40">
        <v>-7187</v>
      </c>
      <c r="E62" s="41">
        <v>-9022</v>
      </c>
      <c r="F62" s="29"/>
    </row>
    <row r="63" spans="1:10">
      <c r="A63" s="29"/>
      <c r="B63" s="52" t="s">
        <v>83</v>
      </c>
      <c r="C63" s="43"/>
      <c r="D63" s="43"/>
      <c r="E63" s="44"/>
      <c r="F63" s="29"/>
    </row>
    <row r="64" spans="1:10">
      <c r="A64" s="29"/>
      <c r="B64" s="47" t="s">
        <v>84</v>
      </c>
      <c r="C64" s="45">
        <v>-996</v>
      </c>
      <c r="D64" s="37">
        <v>-1046</v>
      </c>
      <c r="E64" s="37">
        <v>-1098</v>
      </c>
      <c r="F64" s="53"/>
    </row>
    <row r="65" spans="1:7">
      <c r="A65" s="29"/>
      <c r="B65" s="47" t="s">
        <v>85</v>
      </c>
      <c r="C65" s="45">
        <v>-455</v>
      </c>
      <c r="D65" s="45">
        <v>-478</v>
      </c>
      <c r="E65" s="46">
        <v>-506</v>
      </c>
      <c r="F65" s="29"/>
    </row>
    <row r="66" spans="1:7">
      <c r="A66" s="29"/>
      <c r="B66" s="47" t="s">
        <v>86</v>
      </c>
      <c r="C66" s="58">
        <v>-1100</v>
      </c>
      <c r="D66" s="58">
        <v>-1100</v>
      </c>
      <c r="E66" s="59">
        <v>-1100</v>
      </c>
      <c r="F66" s="29"/>
    </row>
    <row r="67" spans="1:7">
      <c r="A67" s="29"/>
      <c r="B67" s="48" t="s">
        <v>87</v>
      </c>
      <c r="C67" s="40">
        <v>-2551</v>
      </c>
      <c r="D67" s="40">
        <v>-2624</v>
      </c>
      <c r="E67" s="41">
        <v>-2704</v>
      </c>
      <c r="F67" s="29"/>
    </row>
    <row r="68" spans="1:7">
      <c r="A68" s="29"/>
      <c r="B68" s="48" t="s">
        <v>88</v>
      </c>
      <c r="C68" s="43">
        <v>0</v>
      </c>
      <c r="D68" s="40">
        <v>0</v>
      </c>
      <c r="E68" s="41">
        <v>-4</v>
      </c>
      <c r="F68" s="29"/>
    </row>
    <row r="69" spans="1:7">
      <c r="A69" s="29"/>
      <c r="B69" s="60" t="s">
        <v>89</v>
      </c>
      <c r="C69" s="37">
        <v>2450</v>
      </c>
      <c r="D69" s="37">
        <v>2450</v>
      </c>
      <c r="E69" s="46">
        <v>2450</v>
      </c>
      <c r="F69" s="29"/>
    </row>
    <row r="70" spans="1:7" ht="13.5" customHeight="1">
      <c r="A70" s="29"/>
      <c r="B70" s="61" t="s">
        <v>90</v>
      </c>
      <c r="C70" s="62">
        <v>2450</v>
      </c>
      <c r="D70" s="63">
        <v>2450</v>
      </c>
      <c r="E70" s="64">
        <v>2446</v>
      </c>
      <c r="F70" s="29"/>
    </row>
    <row r="71" spans="1:7" ht="13.5" customHeight="1">
      <c r="A71" s="29"/>
      <c r="B71" s="29"/>
      <c r="C71" s="29"/>
      <c r="D71" s="29"/>
      <c r="E71" s="29"/>
      <c r="F71" s="29"/>
    </row>
    <row r="72" spans="1:7">
      <c r="A72" s="29"/>
      <c r="B72" s="30"/>
      <c r="C72" s="31">
        <v>2024</v>
      </c>
      <c r="D72" s="31">
        <v>2025</v>
      </c>
      <c r="E72" s="32">
        <v>2026</v>
      </c>
      <c r="F72" s="29"/>
    </row>
    <row r="73" spans="1:7" ht="19.5" customHeight="1">
      <c r="A73" s="29"/>
      <c r="B73" s="65" t="s">
        <v>91</v>
      </c>
      <c r="C73" s="37">
        <v>25298</v>
      </c>
      <c r="D73" s="37">
        <v>24820</v>
      </c>
      <c r="E73" s="38">
        <v>24318</v>
      </c>
      <c r="F73" s="66"/>
      <c r="G73" s="56"/>
    </row>
    <row r="74" spans="1:7">
      <c r="A74" s="29"/>
      <c r="B74" s="67" t="s">
        <v>92</v>
      </c>
      <c r="C74" s="68">
        <v>6.2100000000000002E-2</v>
      </c>
      <c r="D74" s="68">
        <v>5.5100000000000003E-2</v>
      </c>
      <c r="E74" s="69">
        <v>5.6599999999999998E-2</v>
      </c>
      <c r="F74" s="66"/>
    </row>
    <row r="75" spans="1:7">
      <c r="A75" s="29"/>
      <c r="B75" s="65" t="s">
        <v>93</v>
      </c>
      <c r="C75" s="37">
        <v>13246</v>
      </c>
      <c r="D75" s="37">
        <v>14814</v>
      </c>
      <c r="E75" s="38">
        <v>15035</v>
      </c>
      <c r="F75" s="29"/>
    </row>
    <row r="76" spans="1:7">
      <c r="A76" s="29"/>
      <c r="B76" s="65" t="s">
        <v>94</v>
      </c>
      <c r="C76" s="37">
        <v>13445</v>
      </c>
      <c r="D76" s="37">
        <v>15041</v>
      </c>
      <c r="E76" s="38">
        <v>15350</v>
      </c>
      <c r="F76" s="29"/>
    </row>
    <row r="77" spans="1:7" ht="13.5" customHeight="1">
      <c r="A77" s="29"/>
      <c r="B77" s="70" t="s">
        <v>95</v>
      </c>
      <c r="C77" s="71" t="s">
        <v>96</v>
      </c>
      <c r="D77" s="71" t="s">
        <v>97</v>
      </c>
      <c r="E77" s="72" t="s">
        <v>98</v>
      </c>
      <c r="F77" s="29"/>
    </row>
    <row r="78" spans="1:7" ht="13.5" customHeight="1">
      <c r="A78" s="29"/>
      <c r="B78" s="29"/>
      <c r="C78" s="29"/>
      <c r="D78" s="29"/>
      <c r="E78" s="29"/>
      <c r="F78" s="29"/>
    </row>
    <row r="79" spans="1:7" ht="13.5" customHeight="1">
      <c r="A79" s="29"/>
      <c r="B79" s="73" t="s">
        <v>99</v>
      </c>
      <c r="C79" s="31">
        <v>2024</v>
      </c>
      <c r="D79" s="31">
        <v>2025</v>
      </c>
      <c r="E79" s="32">
        <v>2026</v>
      </c>
      <c r="F79" s="29"/>
    </row>
    <row r="80" spans="1:7">
      <c r="A80" s="29"/>
      <c r="B80" s="74" t="s">
        <v>100</v>
      </c>
      <c r="C80" s="75">
        <v>92.39</v>
      </c>
      <c r="D80" s="75">
        <v>123.17</v>
      </c>
      <c r="E80" s="76">
        <v>105.8</v>
      </c>
      <c r="F80" s="29"/>
    </row>
    <row r="81" spans="1:6">
      <c r="A81" s="29"/>
      <c r="B81" s="47" t="s">
        <v>101</v>
      </c>
      <c r="C81" s="45">
        <v>510</v>
      </c>
      <c r="D81" s="45">
        <v>500</v>
      </c>
      <c r="E81" s="46">
        <v>490</v>
      </c>
      <c r="F81" s="29"/>
    </row>
    <row r="82" spans="1:6" ht="13.5" customHeight="1">
      <c r="A82" s="29"/>
      <c r="B82" s="77" t="s">
        <v>102</v>
      </c>
      <c r="C82" s="63">
        <v>1.95</v>
      </c>
      <c r="D82" s="63">
        <v>2.09</v>
      </c>
      <c r="E82" s="78">
        <v>2.2400000000000002</v>
      </c>
      <c r="F82" s="29"/>
    </row>
    <row r="83" spans="1:6">
      <c r="A83" s="29"/>
      <c r="B83" s="29"/>
      <c r="C83" s="79"/>
      <c r="D83" s="79"/>
      <c r="E83" s="79"/>
      <c r="F83" s="29"/>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1"/>
  <sheetViews>
    <sheetView showGridLines="0" zoomScaleNormal="100" workbookViewId="0">
      <selection activeCell="N6" sqref="N6:N16"/>
    </sheetView>
  </sheetViews>
  <sheetFormatPr defaultColWidth="8.7109375" defaultRowHeight="12.95"/>
  <cols>
    <col min="1" max="1" width="8.7109375" style="28"/>
    <col min="2" max="2" width="20.42578125" style="28" customWidth="1"/>
    <col min="3" max="3" width="14.28515625" style="28" customWidth="1"/>
    <col min="4" max="4" width="17.7109375" style="28" customWidth="1"/>
    <col min="5" max="5" width="18.42578125" style="28" customWidth="1"/>
    <col min="6" max="7" width="13.42578125" style="28" customWidth="1"/>
    <col min="8" max="8" width="14.42578125" style="28" customWidth="1"/>
    <col min="9" max="9" width="15.42578125" style="28" customWidth="1"/>
    <col min="10" max="11" width="14.42578125" style="28" customWidth="1"/>
    <col min="12" max="12" width="15.42578125" style="28" customWidth="1"/>
    <col min="13" max="13" width="15.28515625" style="28" customWidth="1"/>
    <col min="14" max="14" width="12.7109375" style="28" customWidth="1"/>
    <col min="15" max="16384" width="8.7109375" style="28"/>
  </cols>
  <sheetData>
    <row r="1" spans="1:15">
      <c r="A1" s="29"/>
      <c r="B1" s="29"/>
      <c r="C1" s="29"/>
      <c r="D1" s="29"/>
      <c r="E1" s="29"/>
      <c r="F1" s="29"/>
      <c r="G1" s="29"/>
      <c r="H1" s="29"/>
      <c r="I1" s="29"/>
      <c r="J1" s="29"/>
      <c r="K1" s="29"/>
      <c r="L1" s="29"/>
      <c r="M1" s="29"/>
      <c r="N1" s="29"/>
      <c r="O1" s="29"/>
    </row>
    <row r="2" spans="1:15">
      <c r="A2" s="29"/>
      <c r="B2" s="6" t="s">
        <v>103</v>
      </c>
      <c r="C2" s="29"/>
      <c r="D2" s="29"/>
      <c r="E2" s="29"/>
      <c r="F2" s="29"/>
      <c r="G2" s="29"/>
      <c r="H2" s="29"/>
      <c r="I2" s="29"/>
      <c r="J2" s="29"/>
      <c r="K2" s="29"/>
      <c r="L2" s="29"/>
      <c r="M2" s="29"/>
      <c r="N2" s="29"/>
      <c r="O2" s="29"/>
    </row>
    <row r="3" spans="1:15">
      <c r="A3" s="29"/>
      <c r="B3" s="29"/>
      <c r="C3" s="29"/>
      <c r="D3" s="29"/>
      <c r="E3" s="29"/>
      <c r="F3" s="29"/>
      <c r="G3" s="29"/>
      <c r="H3" s="29"/>
      <c r="I3" s="29"/>
      <c r="J3" s="29"/>
      <c r="K3" s="29"/>
      <c r="L3" s="29"/>
      <c r="M3" s="29"/>
      <c r="N3" s="29"/>
      <c r="O3" s="29"/>
    </row>
    <row r="4" spans="1:15" ht="60" customHeight="1">
      <c r="A4" s="29"/>
      <c r="B4" s="80" t="s">
        <v>104</v>
      </c>
      <c r="C4" s="81" t="s">
        <v>105</v>
      </c>
      <c r="D4" s="81" t="s">
        <v>106</v>
      </c>
      <c r="E4" s="81" t="s">
        <v>107</v>
      </c>
      <c r="F4" s="81" t="s">
        <v>108</v>
      </c>
      <c r="G4" s="81" t="s">
        <v>109</v>
      </c>
      <c r="H4" s="81" t="s">
        <v>110</v>
      </c>
      <c r="I4" s="81" t="s">
        <v>111</v>
      </c>
      <c r="J4" s="81" t="s">
        <v>112</v>
      </c>
      <c r="K4" s="81" t="s">
        <v>113</v>
      </c>
      <c r="L4" s="81" t="s">
        <v>114</v>
      </c>
      <c r="M4" s="81" t="s">
        <v>115</v>
      </c>
      <c r="N4" s="82" t="s">
        <v>116</v>
      </c>
      <c r="O4" s="29"/>
    </row>
    <row r="5" spans="1:15" ht="14.1">
      <c r="A5" s="29"/>
      <c r="B5" s="83"/>
      <c r="C5" s="84"/>
      <c r="D5" s="84"/>
      <c r="E5" s="84"/>
      <c r="F5" s="85" t="s">
        <v>117</v>
      </c>
      <c r="G5" s="85" t="s">
        <v>117</v>
      </c>
      <c r="H5" s="85"/>
      <c r="I5" s="85" t="s">
        <v>117</v>
      </c>
      <c r="J5" s="85" t="s">
        <v>117</v>
      </c>
      <c r="K5" s="85" t="s">
        <v>117</v>
      </c>
      <c r="L5" s="85" t="s">
        <v>117</v>
      </c>
      <c r="M5" s="84"/>
      <c r="N5" s="86"/>
      <c r="O5" s="29"/>
    </row>
    <row r="6" spans="1:15">
      <c r="A6" s="29"/>
      <c r="B6" s="87" t="s">
        <v>118</v>
      </c>
      <c r="C6" s="88">
        <v>160.6</v>
      </c>
      <c r="D6" s="89">
        <v>506138710</v>
      </c>
      <c r="E6" s="90">
        <v>81285876.826000005</v>
      </c>
      <c r="F6" s="91">
        <v>58786280</v>
      </c>
      <c r="G6" s="91">
        <v>242000</v>
      </c>
      <c r="H6" s="90">
        <v>140315683</v>
      </c>
      <c r="I6" s="91">
        <v>61853379</v>
      </c>
      <c r="J6" s="91">
        <v>21648683</v>
      </c>
      <c r="K6" s="91">
        <v>15463345</v>
      </c>
      <c r="L6" s="91">
        <v>10240289</v>
      </c>
      <c r="M6" s="91">
        <v>-1211717</v>
      </c>
      <c r="N6" s="92">
        <v>1.45</v>
      </c>
      <c r="O6" s="29"/>
    </row>
    <row r="7" spans="1:15">
      <c r="A7" s="29"/>
      <c r="B7" s="87" t="s">
        <v>119</v>
      </c>
      <c r="C7" s="88">
        <v>108.21</v>
      </c>
      <c r="D7" s="89">
        <v>891610443</v>
      </c>
      <c r="E7" s="90">
        <v>96481166.037029997</v>
      </c>
      <c r="F7" s="91">
        <v>38286344</v>
      </c>
      <c r="G7" s="91">
        <v>43014</v>
      </c>
      <c r="H7" s="90">
        <v>134811465</v>
      </c>
      <c r="I7" s="91">
        <v>63826690</v>
      </c>
      <c r="J7" s="91">
        <v>22339342</v>
      </c>
      <c r="K7" s="91">
        <v>15956673</v>
      </c>
      <c r="L7" s="91">
        <v>10564931</v>
      </c>
      <c r="M7" s="91">
        <v>-1183751</v>
      </c>
      <c r="N7" s="92">
        <v>1.1399999999999999</v>
      </c>
      <c r="O7" s="29"/>
    </row>
    <row r="8" spans="1:15">
      <c r="A8" s="29"/>
      <c r="B8" s="87" t="s">
        <v>120</v>
      </c>
      <c r="C8" s="88">
        <v>202.57</v>
      </c>
      <c r="D8" s="89">
        <v>694600425</v>
      </c>
      <c r="E8" s="90">
        <v>140705208.09224999</v>
      </c>
      <c r="F8" s="91">
        <v>68437320</v>
      </c>
      <c r="G8" s="91">
        <v>1616000</v>
      </c>
      <c r="H8" s="90">
        <v>210760518</v>
      </c>
      <c r="I8" s="91">
        <v>94160393</v>
      </c>
      <c r="J8" s="91">
        <v>32956138</v>
      </c>
      <c r="K8" s="91">
        <v>23540098</v>
      </c>
      <c r="L8" s="91">
        <v>15597475</v>
      </c>
      <c r="M8" s="91">
        <v>-2115970</v>
      </c>
      <c r="N8" s="92">
        <v>1.77</v>
      </c>
      <c r="O8" s="29"/>
    </row>
    <row r="9" spans="1:15">
      <c r="A9" s="29"/>
      <c r="B9" s="87" t="s">
        <v>121</v>
      </c>
      <c r="C9" s="88">
        <v>146.18</v>
      </c>
      <c r="D9" s="89">
        <v>784292830</v>
      </c>
      <c r="E9" s="90">
        <v>114647925.88940001</v>
      </c>
      <c r="F9" s="91">
        <v>37564875</v>
      </c>
      <c r="G9" s="91">
        <v>241</v>
      </c>
      <c r="H9" s="90">
        <v>152213751</v>
      </c>
      <c r="I9" s="91">
        <v>63245795</v>
      </c>
      <c r="J9" s="91">
        <v>22136028</v>
      </c>
      <c r="K9" s="91">
        <v>15811449</v>
      </c>
      <c r="L9" s="91">
        <v>10468425</v>
      </c>
      <c r="M9" s="91">
        <v>-1161445</v>
      </c>
      <c r="N9" s="92">
        <v>1.1599999999999999</v>
      </c>
      <c r="O9" s="29"/>
    </row>
    <row r="10" spans="1:15">
      <c r="A10" s="29"/>
      <c r="B10" s="87" t="s">
        <v>122</v>
      </c>
      <c r="C10" s="88">
        <v>176.18</v>
      </c>
      <c r="D10" s="89">
        <v>247478882</v>
      </c>
      <c r="E10" s="90">
        <v>43600829.430760004</v>
      </c>
      <c r="F10" s="91">
        <v>45894882</v>
      </c>
      <c r="G10" s="91">
        <v>987249</v>
      </c>
      <c r="H10" s="90">
        <v>90483184</v>
      </c>
      <c r="I10" s="91">
        <v>39330844</v>
      </c>
      <c r="J10" s="91">
        <v>13765796</v>
      </c>
      <c r="K10" s="91">
        <v>9832711</v>
      </c>
      <c r="L10" s="91">
        <v>6517064</v>
      </c>
      <c r="M10" s="91">
        <v>-945997</v>
      </c>
      <c r="N10" s="92">
        <v>1.25</v>
      </c>
      <c r="O10" s="29"/>
    </row>
    <row r="11" spans="1:15">
      <c r="A11" s="29"/>
      <c r="B11" s="87" t="s">
        <v>123</v>
      </c>
      <c r="C11" s="88">
        <v>98.83</v>
      </c>
      <c r="D11" s="89">
        <v>58264267</v>
      </c>
      <c r="E11" s="90">
        <v>5758257.5076099997</v>
      </c>
      <c r="F11" s="91">
        <v>12118484</v>
      </c>
      <c r="G11" s="91">
        <v>9900</v>
      </c>
      <c r="H11" s="90">
        <v>17886884</v>
      </c>
      <c r="I11" s="91">
        <v>16488780</v>
      </c>
      <c r="J11" s="91">
        <v>5771073</v>
      </c>
      <c r="K11" s="91">
        <v>4122195</v>
      </c>
      <c r="L11" s="91">
        <v>2731464</v>
      </c>
      <c r="M11" s="91">
        <v>-374684</v>
      </c>
      <c r="N11" s="92">
        <v>0.79</v>
      </c>
      <c r="O11" s="29"/>
    </row>
    <row r="12" spans="1:15">
      <c r="A12" s="29"/>
      <c r="B12" s="87" t="s">
        <v>124</v>
      </c>
      <c r="C12" s="88">
        <v>90.1</v>
      </c>
      <c r="D12" s="89">
        <v>779090965</v>
      </c>
      <c r="E12" s="90">
        <v>70196095.946500003</v>
      </c>
      <c r="F12" s="91">
        <v>12855538</v>
      </c>
      <c r="G12" s="91">
        <v>1922933</v>
      </c>
      <c r="H12" s="90">
        <v>84974959</v>
      </c>
      <c r="I12" s="91">
        <v>54703853</v>
      </c>
      <c r="J12" s="91">
        <v>19146349</v>
      </c>
      <c r="K12" s="91">
        <v>13675963</v>
      </c>
      <c r="L12" s="91">
        <v>9036849</v>
      </c>
      <c r="M12" s="91">
        <v>-397472</v>
      </c>
      <c r="N12" s="92">
        <v>0.92</v>
      </c>
      <c r="O12" s="29"/>
    </row>
    <row r="13" spans="1:15">
      <c r="A13" s="29"/>
      <c r="B13" s="87" t="s">
        <v>125</v>
      </c>
      <c r="C13" s="88">
        <v>43.55</v>
      </c>
      <c r="D13" s="89">
        <v>1040759148</v>
      </c>
      <c r="E13" s="90">
        <v>45325060.895400003</v>
      </c>
      <c r="F13" s="91">
        <v>13498324</v>
      </c>
      <c r="G13" s="91">
        <v>115200</v>
      </c>
      <c r="H13" s="90">
        <v>58936231</v>
      </c>
      <c r="I13" s="91">
        <v>36853951</v>
      </c>
      <c r="J13" s="91">
        <v>12898883</v>
      </c>
      <c r="K13" s="91">
        <v>9213488</v>
      </c>
      <c r="L13" s="91">
        <v>6092350</v>
      </c>
      <c r="M13" s="91">
        <v>-417346</v>
      </c>
      <c r="N13" s="92">
        <v>1.26</v>
      </c>
      <c r="O13" s="29"/>
    </row>
    <row r="14" spans="1:15">
      <c r="A14" s="29"/>
      <c r="B14" s="87" t="s">
        <v>126</v>
      </c>
      <c r="C14" s="88">
        <v>72.56</v>
      </c>
      <c r="D14" s="89">
        <v>49692776</v>
      </c>
      <c r="E14" s="90">
        <v>3605707.82656</v>
      </c>
      <c r="F14" s="91">
        <v>30183120</v>
      </c>
      <c r="G14" s="91">
        <v>125617</v>
      </c>
      <c r="H14" s="90">
        <v>33914585</v>
      </c>
      <c r="I14" s="91">
        <v>5162212</v>
      </c>
      <c r="J14" s="91">
        <v>1806774</v>
      </c>
      <c r="K14" s="91">
        <v>1290553</v>
      </c>
      <c r="L14" s="91">
        <v>950024</v>
      </c>
      <c r="M14" s="91">
        <v>-933213</v>
      </c>
      <c r="N14" s="92">
        <v>1.42</v>
      </c>
      <c r="O14" s="29"/>
    </row>
    <row r="15" spans="1:15">
      <c r="A15" s="29"/>
      <c r="B15" s="87" t="s">
        <v>127</v>
      </c>
      <c r="C15" s="88">
        <v>135.68</v>
      </c>
      <c r="D15" s="89">
        <v>18036665</v>
      </c>
      <c r="E15" s="90">
        <v>2447214.7072000001</v>
      </c>
      <c r="F15" s="91">
        <v>10927581</v>
      </c>
      <c r="G15" s="91" t="s">
        <v>128</v>
      </c>
      <c r="H15" s="90">
        <v>13374767</v>
      </c>
      <c r="I15" s="91">
        <v>3495475</v>
      </c>
      <c r="J15" s="91">
        <v>1223416</v>
      </c>
      <c r="K15" s="91">
        <v>873869</v>
      </c>
      <c r="L15" s="91">
        <v>591520</v>
      </c>
      <c r="M15" s="91">
        <v>-337863</v>
      </c>
      <c r="N15" s="92">
        <v>0.71</v>
      </c>
      <c r="O15" s="29"/>
    </row>
    <row r="16" spans="1:15">
      <c r="A16" s="29"/>
      <c r="B16" s="93" t="s">
        <v>129</v>
      </c>
      <c r="C16" s="94">
        <v>125.63</v>
      </c>
      <c r="D16" s="95">
        <v>979313394</v>
      </c>
      <c r="E16" s="96">
        <v>123031141.68821999</v>
      </c>
      <c r="F16" s="97">
        <v>45461220</v>
      </c>
      <c r="G16" s="97">
        <v>93000</v>
      </c>
      <c r="H16" s="96">
        <v>168583541</v>
      </c>
      <c r="I16" s="97">
        <v>69288451</v>
      </c>
      <c r="J16" s="97">
        <v>24250958</v>
      </c>
      <c r="K16" s="97">
        <v>17322113</v>
      </c>
      <c r="L16" s="97">
        <v>11472719</v>
      </c>
      <c r="M16" s="97">
        <v>-1405587</v>
      </c>
      <c r="N16" s="98">
        <v>1.42</v>
      </c>
      <c r="O16" s="29"/>
    </row>
    <row r="17" spans="1:15">
      <c r="A17" s="29"/>
      <c r="B17" s="29"/>
      <c r="C17" s="29"/>
      <c r="D17" s="29"/>
      <c r="E17" s="29"/>
      <c r="F17" s="29"/>
      <c r="G17" s="29"/>
      <c r="H17" s="29"/>
      <c r="I17" s="29"/>
      <c r="J17" s="29"/>
      <c r="K17" s="29"/>
      <c r="L17" s="29"/>
      <c r="M17" s="29"/>
      <c r="N17" s="29"/>
      <c r="O17" s="29"/>
    </row>
    <row r="18" spans="1:15">
      <c r="B18" s="99" t="s">
        <v>130</v>
      </c>
    </row>
    <row r="19" spans="1:15">
      <c r="B19" s="28" t="s">
        <v>131</v>
      </c>
    </row>
    <row r="21" spans="1:15">
      <c r="E21" s="100"/>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
  <sheetViews>
    <sheetView showGridLines="0" zoomScaleNormal="100" workbookViewId="0">
      <selection activeCell="B7" sqref="B7"/>
    </sheetView>
  </sheetViews>
  <sheetFormatPr defaultColWidth="9.28515625" defaultRowHeight="12.95"/>
  <cols>
    <col min="1" max="1" width="9.28515625" style="28"/>
    <col min="2" max="2" width="41" style="28" customWidth="1"/>
    <col min="3" max="3" width="13.28515625" style="28" customWidth="1"/>
    <col min="4" max="16384" width="9.28515625" style="28"/>
  </cols>
  <sheetData>
    <row r="1" spans="1:3" ht="12.75" customHeight="1">
      <c r="A1" s="29"/>
      <c r="B1" s="29"/>
      <c r="C1" s="29"/>
    </row>
    <row r="2" spans="1:3" ht="12.75" customHeight="1">
      <c r="A2" s="29"/>
      <c r="B2" s="6" t="s">
        <v>132</v>
      </c>
      <c r="C2" s="29"/>
    </row>
    <row r="3" spans="1:3" ht="12.75" customHeight="1">
      <c r="A3" s="29"/>
      <c r="B3" s="29" t="s">
        <v>133</v>
      </c>
      <c r="C3" s="29"/>
    </row>
    <row r="4" spans="1:3" ht="12.75" customHeight="1">
      <c r="A4" s="29"/>
      <c r="B4" s="101" t="s">
        <v>134</v>
      </c>
      <c r="C4" s="102" t="s">
        <v>135</v>
      </c>
    </row>
    <row r="5" spans="1:3" ht="12.75" customHeight="1">
      <c r="A5" s="29"/>
      <c r="B5" s="103" t="s">
        <v>136</v>
      </c>
      <c r="C5" s="104">
        <v>0</v>
      </c>
    </row>
    <row r="6" spans="1:3" ht="12.75" customHeight="1">
      <c r="A6" s="29"/>
      <c r="B6" s="103" t="s">
        <v>137</v>
      </c>
      <c r="C6" s="104">
        <v>0.03</v>
      </c>
    </row>
    <row r="7" spans="1:3" ht="12.75" customHeight="1">
      <c r="A7" s="29"/>
      <c r="B7" s="105" t="s">
        <v>138</v>
      </c>
      <c r="C7" s="106">
        <v>0.06</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7"/>
  <sheetViews>
    <sheetView showGridLines="0" zoomScaleNormal="100" workbookViewId="0">
      <selection activeCell="H5" sqref="H5"/>
    </sheetView>
  </sheetViews>
  <sheetFormatPr defaultColWidth="9.28515625" defaultRowHeight="12.95"/>
  <cols>
    <col min="1" max="1" width="9.28515625" style="28"/>
    <col min="2" max="2" width="26.42578125" style="28" customWidth="1"/>
    <col min="3" max="3" width="8.7109375" style="28" customWidth="1"/>
    <col min="4" max="4" width="6.7109375" style="28" customWidth="1"/>
    <col min="5" max="5" width="6.42578125" style="28" customWidth="1"/>
    <col min="6" max="7" width="7.7109375" style="28" customWidth="1"/>
    <col min="8" max="8" width="6.7109375" style="28" customWidth="1"/>
    <col min="9" max="9" width="7.7109375" style="28" customWidth="1"/>
    <col min="10" max="11" width="6.7109375" style="28" customWidth="1"/>
    <col min="12" max="12" width="6.42578125" style="28" customWidth="1"/>
    <col min="13" max="14" width="6.7109375" style="28" customWidth="1"/>
    <col min="15" max="16" width="9.28515625" style="28"/>
    <col min="17" max="17" width="13.7109375" style="28" customWidth="1"/>
    <col min="18" max="16384" width="9.28515625" style="28"/>
  </cols>
  <sheetData>
    <row r="1" spans="1:19">
      <c r="A1" s="29"/>
      <c r="B1" s="29"/>
      <c r="C1" s="29"/>
      <c r="D1" s="29"/>
      <c r="E1" s="29"/>
      <c r="F1" s="29"/>
      <c r="G1" s="29"/>
      <c r="H1" s="29"/>
      <c r="I1" s="29"/>
      <c r="J1" s="29"/>
      <c r="K1" s="29"/>
      <c r="L1" s="29"/>
      <c r="M1" s="29"/>
      <c r="N1" s="29"/>
      <c r="O1" s="29"/>
    </row>
    <row r="2" spans="1:19">
      <c r="A2" s="29"/>
      <c r="B2" s="107" t="s">
        <v>139</v>
      </c>
      <c r="C2" s="29"/>
      <c r="D2" s="29"/>
      <c r="E2" s="29"/>
      <c r="F2" s="29"/>
      <c r="G2" s="29"/>
      <c r="H2" s="29"/>
      <c r="I2" s="29"/>
      <c r="J2" s="29"/>
      <c r="K2" s="29"/>
      <c r="L2" s="29"/>
      <c r="M2" s="29"/>
      <c r="N2" s="29"/>
      <c r="O2" s="29"/>
    </row>
    <row r="3" spans="1:19">
      <c r="A3" s="29"/>
      <c r="B3" s="108"/>
      <c r="C3" s="29"/>
      <c r="D3" s="29"/>
      <c r="E3" s="29"/>
      <c r="F3" s="29"/>
      <c r="G3" s="29"/>
      <c r="H3" s="29"/>
      <c r="I3" s="29"/>
      <c r="J3" s="29"/>
      <c r="K3" s="29"/>
      <c r="L3" s="29"/>
      <c r="M3" s="29"/>
      <c r="N3" s="29"/>
      <c r="O3" s="29"/>
    </row>
    <row r="4" spans="1:19">
      <c r="A4" s="29"/>
      <c r="B4" s="109" t="s">
        <v>140</v>
      </c>
      <c r="C4" s="110" t="s">
        <v>141</v>
      </c>
      <c r="D4" s="110">
        <v>2027</v>
      </c>
      <c r="E4" s="110">
        <v>2028</v>
      </c>
      <c r="F4" s="110">
        <v>2029</v>
      </c>
      <c r="G4" s="110">
        <v>2030</v>
      </c>
      <c r="H4" s="110">
        <v>2031</v>
      </c>
      <c r="I4" s="110">
        <v>2032</v>
      </c>
      <c r="J4" s="110">
        <v>2033</v>
      </c>
      <c r="K4" s="110">
        <v>2034</v>
      </c>
      <c r="L4" s="110">
        <v>2035</v>
      </c>
      <c r="M4" s="110">
        <v>2036</v>
      </c>
      <c r="N4" s="111">
        <v>2037</v>
      </c>
      <c r="O4" s="79"/>
      <c r="P4" s="112"/>
      <c r="Q4" s="112"/>
      <c r="R4" s="112"/>
      <c r="S4" s="112"/>
    </row>
    <row r="5" spans="1:19">
      <c r="A5" s="29"/>
      <c r="B5" s="113" t="s">
        <v>142</v>
      </c>
      <c r="C5" s="29" t="s">
        <v>143</v>
      </c>
      <c r="D5" s="114">
        <v>0</v>
      </c>
      <c r="E5" s="114">
        <v>75</v>
      </c>
      <c r="F5" s="114">
        <v>75</v>
      </c>
      <c r="G5" s="114">
        <v>75</v>
      </c>
      <c r="H5" s="114">
        <v>74.86</v>
      </c>
      <c r="I5" s="114">
        <v>74.930000000000007</v>
      </c>
      <c r="J5" s="114">
        <v>74.819999999999993</v>
      </c>
      <c r="K5" s="114">
        <v>74.64</v>
      </c>
      <c r="L5" s="114">
        <v>74.61</v>
      </c>
      <c r="M5" s="114">
        <v>74.739999999999995</v>
      </c>
      <c r="N5" s="115">
        <v>74.400000000000006</v>
      </c>
      <c r="O5" s="114"/>
      <c r="P5" s="116"/>
    </row>
    <row r="6" spans="1:19">
      <c r="A6" s="29"/>
      <c r="B6" s="113" t="s">
        <v>144</v>
      </c>
      <c r="C6" s="29" t="s">
        <v>145</v>
      </c>
      <c r="D6" s="29"/>
      <c r="E6" s="29"/>
      <c r="F6" s="29"/>
      <c r="G6" s="29"/>
      <c r="H6" s="29"/>
      <c r="I6" s="29"/>
      <c r="J6" s="29"/>
      <c r="K6" s="29"/>
      <c r="L6" s="29"/>
      <c r="M6" s="29"/>
      <c r="N6" s="117"/>
      <c r="O6" s="29"/>
    </row>
    <row r="7" spans="1:19">
      <c r="A7" s="29"/>
      <c r="B7" s="113" t="s">
        <v>146</v>
      </c>
      <c r="C7" s="29" t="s">
        <v>147</v>
      </c>
      <c r="D7" s="29"/>
      <c r="E7" s="29"/>
      <c r="F7" s="29"/>
      <c r="G7" s="29"/>
      <c r="H7" s="29"/>
      <c r="I7" s="29"/>
      <c r="J7" s="29"/>
      <c r="K7" s="29"/>
      <c r="L7" s="29"/>
      <c r="M7" s="29"/>
      <c r="N7" s="117"/>
      <c r="O7" s="29"/>
    </row>
    <row r="8" spans="1:19">
      <c r="A8" s="29"/>
      <c r="B8" s="118" t="s">
        <v>148</v>
      </c>
      <c r="C8" s="119" t="s">
        <v>145</v>
      </c>
      <c r="D8" s="119"/>
      <c r="E8" s="119"/>
      <c r="F8" s="119"/>
      <c r="G8" s="119"/>
      <c r="H8" s="119"/>
      <c r="I8" s="119"/>
      <c r="J8" s="119"/>
      <c r="K8" s="119"/>
      <c r="L8" s="119"/>
      <c r="M8" s="119"/>
      <c r="N8" s="120"/>
      <c r="O8" s="29"/>
    </row>
    <row r="9" spans="1:19">
      <c r="A9" s="29"/>
      <c r="B9" s="29"/>
      <c r="C9" s="29"/>
      <c r="D9" s="29"/>
      <c r="E9" s="29"/>
      <c r="F9" s="29"/>
      <c r="G9" s="29"/>
      <c r="H9" s="29"/>
      <c r="I9" s="29"/>
      <c r="J9" s="29"/>
      <c r="K9" s="29"/>
      <c r="L9" s="29"/>
      <c r="M9" s="29"/>
      <c r="N9" s="29"/>
      <c r="O9" s="29"/>
    </row>
    <row r="10" spans="1:19">
      <c r="A10" s="29"/>
      <c r="B10" s="121"/>
      <c r="C10" s="29"/>
      <c r="D10" s="29"/>
      <c r="E10" s="29"/>
      <c r="F10" s="29"/>
      <c r="G10" s="29"/>
      <c r="H10" s="29"/>
      <c r="I10" s="29"/>
      <c r="J10" s="29"/>
      <c r="K10" s="29"/>
      <c r="L10" s="29"/>
      <c r="M10" s="29"/>
      <c r="N10" s="29"/>
      <c r="O10" s="29"/>
    </row>
    <row r="11" spans="1:19" ht="33" customHeight="1">
      <c r="A11" s="29"/>
      <c r="B11" s="253"/>
      <c r="C11" s="253"/>
      <c r="D11" s="253"/>
      <c r="E11" s="253"/>
      <c r="F11" s="253"/>
      <c r="G11" s="253"/>
      <c r="H11" s="253"/>
      <c r="I11" s="29"/>
      <c r="J11" s="29"/>
      <c r="K11" s="29"/>
      <c r="L11" s="29"/>
      <c r="M11" s="29"/>
      <c r="N11" s="29"/>
      <c r="O11" s="29"/>
    </row>
    <row r="12" spans="1:19">
      <c r="A12" s="29"/>
      <c r="B12" s="253"/>
      <c r="C12" s="253"/>
      <c r="D12" s="253"/>
      <c r="E12" s="253"/>
      <c r="F12" s="253"/>
      <c r="G12" s="253"/>
      <c r="H12" s="253"/>
      <c r="I12" s="29"/>
      <c r="J12" s="29"/>
      <c r="K12" s="29"/>
      <c r="L12" s="29"/>
      <c r="M12" s="29"/>
      <c r="N12" s="29"/>
      <c r="O12" s="29"/>
    </row>
    <row r="13" spans="1:19">
      <c r="A13" s="29"/>
      <c r="B13" s="122"/>
      <c r="C13" s="122"/>
      <c r="D13" s="29"/>
      <c r="E13" s="29"/>
      <c r="F13" s="29"/>
      <c r="G13" s="29"/>
      <c r="H13" s="29"/>
      <c r="I13" s="29"/>
      <c r="J13" s="29"/>
      <c r="K13" s="29"/>
      <c r="L13" s="29"/>
      <c r="M13" s="29"/>
      <c r="N13" s="29"/>
      <c r="O13" s="29"/>
    </row>
    <row r="14" spans="1:19">
      <c r="B14" s="123"/>
      <c r="C14" s="123"/>
    </row>
    <row r="17" spans="17:17">
      <c r="Q17" s="124"/>
    </row>
  </sheetData>
  <mergeCells count="1">
    <mergeCell ref="B11:H12"/>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13"/>
  <sheetViews>
    <sheetView showGridLines="0" zoomScaleNormal="100" workbookViewId="0">
      <selection activeCell="W6" sqref="W6"/>
    </sheetView>
  </sheetViews>
  <sheetFormatPr defaultColWidth="9.28515625" defaultRowHeight="12.95"/>
  <cols>
    <col min="1" max="1" width="9.28515625" style="28"/>
    <col min="2" max="2" width="26.42578125" style="28" customWidth="1"/>
    <col min="3" max="3" width="8.7109375" style="28" customWidth="1"/>
    <col min="4" max="21" width="7.42578125" style="28" customWidth="1"/>
    <col min="22" max="16384" width="9.28515625" style="28"/>
  </cols>
  <sheetData>
    <row r="1" spans="1:23">
      <c r="A1" s="29"/>
      <c r="B1" s="29"/>
      <c r="C1" s="29"/>
      <c r="D1" s="29"/>
      <c r="E1" s="29"/>
      <c r="F1" s="29"/>
      <c r="G1" s="29"/>
      <c r="H1" s="29"/>
      <c r="I1" s="29"/>
      <c r="J1" s="29"/>
      <c r="K1" s="29"/>
      <c r="L1" s="29"/>
      <c r="M1" s="29"/>
      <c r="N1" s="29"/>
      <c r="O1" s="29"/>
      <c r="P1" s="29"/>
      <c r="Q1" s="29"/>
      <c r="R1" s="29"/>
      <c r="S1" s="29"/>
      <c r="T1" s="29"/>
      <c r="U1" s="29"/>
    </row>
    <row r="2" spans="1:23">
      <c r="A2" s="29"/>
      <c r="B2" s="107" t="s">
        <v>149</v>
      </c>
      <c r="C2" s="108"/>
      <c r="D2" s="29"/>
      <c r="E2" s="29"/>
      <c r="F2" s="29"/>
      <c r="G2" s="29"/>
      <c r="H2" s="29"/>
      <c r="I2" s="29"/>
      <c r="J2" s="29"/>
      <c r="K2" s="29"/>
      <c r="L2" s="29"/>
      <c r="M2" s="29"/>
      <c r="N2" s="29"/>
      <c r="O2" s="29"/>
      <c r="P2" s="29"/>
      <c r="Q2" s="29"/>
      <c r="R2" s="29"/>
      <c r="S2" s="29"/>
      <c r="T2" s="29"/>
      <c r="U2" s="29"/>
    </row>
    <row r="3" spans="1:23">
      <c r="A3" s="29"/>
      <c r="B3" s="108"/>
      <c r="C3" s="108"/>
      <c r="D3" s="29"/>
      <c r="E3" s="29"/>
      <c r="F3" s="29"/>
      <c r="G3" s="29"/>
      <c r="H3" s="29"/>
      <c r="I3" s="29"/>
      <c r="J3" s="29"/>
      <c r="K3" s="29"/>
      <c r="L3" s="29"/>
      <c r="M3" s="29"/>
      <c r="N3" s="29"/>
      <c r="O3" s="29"/>
      <c r="P3" s="29"/>
      <c r="Q3" s="29"/>
      <c r="R3" s="29"/>
      <c r="S3" s="29"/>
      <c r="T3" s="29"/>
      <c r="U3" s="29"/>
    </row>
    <row r="4" spans="1:23">
      <c r="A4" s="29"/>
      <c r="B4" s="109" t="s">
        <v>140</v>
      </c>
      <c r="C4" s="110" t="s">
        <v>141</v>
      </c>
      <c r="D4" s="110">
        <v>2027</v>
      </c>
      <c r="E4" s="110">
        <v>2028</v>
      </c>
      <c r="F4" s="110">
        <v>2029</v>
      </c>
      <c r="G4" s="110">
        <v>2030</v>
      </c>
      <c r="H4" s="110">
        <v>2031</v>
      </c>
      <c r="I4" s="110">
        <v>2032</v>
      </c>
      <c r="J4" s="110">
        <v>2033</v>
      </c>
      <c r="K4" s="110">
        <v>2034</v>
      </c>
      <c r="L4" s="110">
        <v>2035</v>
      </c>
      <c r="M4" s="110">
        <v>2036</v>
      </c>
      <c r="N4" s="110">
        <v>2037</v>
      </c>
      <c r="O4" s="110">
        <v>2038</v>
      </c>
      <c r="P4" s="110">
        <v>2039</v>
      </c>
      <c r="Q4" s="110">
        <v>2040</v>
      </c>
      <c r="R4" s="110">
        <v>2041</v>
      </c>
      <c r="S4" s="110">
        <v>2042</v>
      </c>
      <c r="T4" s="110">
        <v>2043</v>
      </c>
      <c r="U4" s="111">
        <v>2044</v>
      </c>
    </row>
    <row r="5" spans="1:23">
      <c r="A5" s="29"/>
      <c r="B5" s="113" t="s">
        <v>142</v>
      </c>
      <c r="C5" s="29" t="s">
        <v>143</v>
      </c>
      <c r="D5" s="114">
        <v>0</v>
      </c>
      <c r="E5" s="114">
        <v>0</v>
      </c>
      <c r="F5" s="114">
        <v>0</v>
      </c>
      <c r="G5" s="114">
        <v>150</v>
      </c>
      <c r="H5" s="114">
        <v>150</v>
      </c>
      <c r="I5" s="114">
        <v>150</v>
      </c>
      <c r="J5" s="114">
        <v>150</v>
      </c>
      <c r="K5" s="114">
        <v>150</v>
      </c>
      <c r="L5" s="114">
        <v>150</v>
      </c>
      <c r="M5" s="114">
        <v>150</v>
      </c>
      <c r="N5" s="114">
        <v>99.48</v>
      </c>
      <c r="O5" s="114">
        <v>99.66</v>
      </c>
      <c r="P5" s="114">
        <v>99.2</v>
      </c>
      <c r="Q5" s="114">
        <v>80.5</v>
      </c>
      <c r="R5" s="114">
        <v>50.55</v>
      </c>
      <c r="S5" s="114">
        <v>25.08</v>
      </c>
      <c r="T5" s="114">
        <v>25.78</v>
      </c>
      <c r="U5" s="115">
        <v>27.61</v>
      </c>
      <c r="W5" s="116">
        <f>SUM(D5:U5)</f>
        <v>1557.86</v>
      </c>
    </row>
    <row r="6" spans="1:23">
      <c r="A6" s="29"/>
      <c r="B6" s="113" t="s">
        <v>144</v>
      </c>
      <c r="C6" s="29" t="s">
        <v>145</v>
      </c>
      <c r="D6" s="29"/>
      <c r="E6" s="29"/>
      <c r="F6" s="29"/>
      <c r="G6" s="29"/>
      <c r="H6" s="29"/>
      <c r="I6" s="29"/>
      <c r="J6" s="29"/>
      <c r="K6" s="29"/>
      <c r="L6" s="29"/>
      <c r="M6" s="29"/>
      <c r="N6" s="29"/>
      <c r="O6" s="29"/>
      <c r="P6" s="29"/>
      <c r="Q6" s="29"/>
      <c r="R6" s="29"/>
      <c r="S6" s="29"/>
      <c r="T6" s="29"/>
      <c r="U6" s="117"/>
    </row>
    <row r="7" spans="1:23">
      <c r="A7" s="29"/>
      <c r="B7" s="113" t="s">
        <v>146</v>
      </c>
      <c r="C7" s="29" t="s">
        <v>147</v>
      </c>
      <c r="D7" s="29"/>
      <c r="E7" s="29"/>
      <c r="F7" s="29"/>
      <c r="G7" s="29"/>
      <c r="H7" s="29"/>
      <c r="I7" s="29"/>
      <c r="J7" s="29"/>
      <c r="K7" s="29"/>
      <c r="L7" s="29"/>
      <c r="M7" s="29"/>
      <c r="N7" s="29"/>
      <c r="O7" s="29"/>
      <c r="P7" s="29"/>
      <c r="Q7" s="29"/>
      <c r="R7" s="29"/>
      <c r="S7" s="29"/>
      <c r="T7" s="29"/>
      <c r="U7" s="117"/>
    </row>
    <row r="8" spans="1:23">
      <c r="A8" s="29"/>
      <c r="B8" s="118" t="s">
        <v>148</v>
      </c>
      <c r="C8" s="119" t="s">
        <v>145</v>
      </c>
      <c r="D8" s="119"/>
      <c r="E8" s="119"/>
      <c r="F8" s="119"/>
      <c r="G8" s="119"/>
      <c r="H8" s="119"/>
      <c r="I8" s="119"/>
      <c r="J8" s="119"/>
      <c r="K8" s="119"/>
      <c r="L8" s="119"/>
      <c r="M8" s="119"/>
      <c r="N8" s="119"/>
      <c r="O8" s="119"/>
      <c r="P8" s="119"/>
      <c r="Q8" s="119"/>
      <c r="R8" s="119"/>
      <c r="S8" s="119"/>
      <c r="T8" s="119"/>
      <c r="U8" s="120"/>
    </row>
    <row r="9" spans="1:23">
      <c r="A9" s="29"/>
      <c r="B9" s="29"/>
      <c r="C9" s="29"/>
      <c r="D9" s="29"/>
      <c r="E9" s="29"/>
      <c r="F9" s="29"/>
      <c r="G9" s="29"/>
      <c r="H9" s="29"/>
      <c r="I9" s="29"/>
      <c r="J9" s="29"/>
      <c r="K9" s="29"/>
      <c r="L9" s="29"/>
      <c r="M9" s="29"/>
      <c r="N9" s="29"/>
      <c r="O9" s="29"/>
      <c r="P9" s="29"/>
      <c r="Q9" s="29"/>
      <c r="R9" s="29"/>
      <c r="S9" s="29"/>
      <c r="T9" s="29"/>
      <c r="U9" s="29"/>
    </row>
    <row r="10" spans="1:23">
      <c r="A10" s="29"/>
      <c r="B10" s="121"/>
      <c r="C10" s="29"/>
      <c r="D10" s="29"/>
      <c r="E10" s="29"/>
      <c r="F10" s="29"/>
      <c r="G10" s="29"/>
      <c r="H10" s="29"/>
      <c r="I10" s="29"/>
      <c r="J10" s="29"/>
      <c r="K10" s="29"/>
      <c r="L10" s="29"/>
      <c r="M10" s="29"/>
      <c r="N10" s="29"/>
      <c r="O10" s="29"/>
      <c r="P10" s="29"/>
      <c r="Q10" s="29"/>
      <c r="R10" s="29"/>
      <c r="S10" s="29"/>
      <c r="T10" s="29"/>
      <c r="U10" s="29"/>
    </row>
    <row r="11" spans="1:23" ht="15.75" customHeight="1">
      <c r="A11" s="29"/>
      <c r="B11" s="125"/>
      <c r="C11" s="1"/>
      <c r="D11" s="1"/>
      <c r="E11" s="1"/>
      <c r="F11" s="1"/>
      <c r="G11" s="1"/>
      <c r="H11" s="1"/>
      <c r="I11" s="29"/>
      <c r="J11" s="29"/>
      <c r="K11" s="29"/>
      <c r="L11" s="29"/>
      <c r="M11" s="29"/>
      <c r="N11" s="29"/>
      <c r="O11" s="29"/>
      <c r="P11" s="29"/>
      <c r="Q11" s="29"/>
      <c r="R11" s="29"/>
      <c r="S11" s="29"/>
      <c r="T11" s="29"/>
      <c r="U11" s="29"/>
    </row>
    <row r="12" spans="1:23">
      <c r="A12" s="29"/>
      <c r="B12" s="1"/>
      <c r="C12" s="1"/>
      <c r="D12" s="1"/>
      <c r="E12" s="1"/>
      <c r="F12" s="1"/>
      <c r="G12" s="1"/>
      <c r="H12" s="1"/>
      <c r="I12" s="29"/>
      <c r="J12" s="29"/>
      <c r="K12" s="29"/>
      <c r="L12" s="29"/>
      <c r="M12" s="29"/>
      <c r="N12" s="29"/>
      <c r="O12" s="29"/>
      <c r="P12" s="29"/>
      <c r="Q12" s="29"/>
      <c r="R12" s="29"/>
      <c r="S12" s="29"/>
      <c r="T12" s="29"/>
      <c r="U12" s="29"/>
    </row>
    <row r="13" spans="1:23">
      <c r="A13" s="29"/>
      <c r="B13" s="29"/>
      <c r="C13" s="29"/>
      <c r="D13" s="29"/>
      <c r="E13" s="29"/>
      <c r="F13" s="29"/>
      <c r="G13" s="29"/>
      <c r="H13" s="29"/>
      <c r="I13" s="29"/>
      <c r="J13" s="29"/>
      <c r="K13" s="29"/>
      <c r="L13" s="29"/>
      <c r="M13" s="29"/>
      <c r="N13" s="29"/>
      <c r="O13" s="29"/>
      <c r="P13" s="29"/>
      <c r="Q13" s="29"/>
      <c r="R13" s="29"/>
      <c r="S13" s="29"/>
      <c r="T13" s="29"/>
      <c r="U13" s="29"/>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3"/>
  <sheetViews>
    <sheetView showGridLines="0" zoomScaleNormal="100" workbookViewId="0">
      <selection activeCell="O5" sqref="O5"/>
    </sheetView>
  </sheetViews>
  <sheetFormatPr defaultColWidth="9.28515625" defaultRowHeight="12.95"/>
  <cols>
    <col min="1" max="1" width="9.28515625" style="28"/>
    <col min="2" max="2" width="26.42578125" style="28" customWidth="1"/>
    <col min="3" max="3" width="8.7109375" style="28" customWidth="1"/>
    <col min="4" max="28" width="7.42578125" style="28" customWidth="1"/>
    <col min="29" max="16384" width="9.28515625" style="28"/>
  </cols>
  <sheetData>
    <row r="1" spans="1:33">
      <c r="A1" s="29"/>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row>
    <row r="2" spans="1:33">
      <c r="A2" s="29"/>
      <c r="B2" s="107" t="s">
        <v>150</v>
      </c>
      <c r="C2" s="108"/>
      <c r="D2" s="29"/>
      <c r="E2" s="29"/>
      <c r="F2" s="29"/>
      <c r="G2" s="29"/>
      <c r="H2" s="29"/>
      <c r="I2" s="29"/>
      <c r="J2" s="29"/>
      <c r="K2" s="29"/>
      <c r="L2" s="29"/>
      <c r="M2" s="29"/>
      <c r="N2" s="29"/>
      <c r="O2" s="29"/>
      <c r="P2" s="29"/>
      <c r="Q2" s="29"/>
      <c r="R2" s="29"/>
      <c r="S2" s="29"/>
      <c r="T2" s="29"/>
      <c r="U2" s="29"/>
      <c r="V2" s="29"/>
      <c r="W2" s="29"/>
      <c r="X2" s="29"/>
      <c r="Y2" s="29"/>
      <c r="Z2" s="29"/>
      <c r="AA2" s="29"/>
      <c r="AB2" s="29"/>
      <c r="AC2" s="29"/>
    </row>
    <row r="3" spans="1:33">
      <c r="A3" s="29"/>
      <c r="B3" s="108"/>
      <c r="C3" s="108"/>
      <c r="D3" s="29"/>
      <c r="E3" s="29"/>
      <c r="F3" s="29"/>
      <c r="G3" s="29"/>
      <c r="H3" s="29"/>
      <c r="I3" s="29"/>
      <c r="J3" s="29"/>
      <c r="K3" s="29"/>
      <c r="L3" s="29"/>
      <c r="M3" s="29"/>
      <c r="N3" s="29"/>
      <c r="O3" s="29"/>
      <c r="P3" s="29"/>
      <c r="Q3" s="29"/>
      <c r="R3" s="29"/>
      <c r="S3" s="29"/>
      <c r="T3" s="29"/>
      <c r="U3" s="29"/>
      <c r="V3" s="29"/>
      <c r="W3" s="29"/>
      <c r="X3" s="29"/>
      <c r="Y3" s="29"/>
      <c r="Z3" s="29"/>
      <c r="AA3" s="29"/>
      <c r="AB3" s="29"/>
      <c r="AC3" s="29"/>
    </row>
    <row r="4" spans="1:33" ht="14.25" customHeight="1">
      <c r="A4" s="29"/>
      <c r="B4" s="109" t="s">
        <v>140</v>
      </c>
      <c r="C4" s="110" t="s">
        <v>141</v>
      </c>
      <c r="D4" s="110">
        <v>2027</v>
      </c>
      <c r="E4" s="110">
        <f t="shared" ref="E4:AG4" si="0">D4+1</f>
        <v>2028</v>
      </c>
      <c r="F4" s="110">
        <f t="shared" si="0"/>
        <v>2029</v>
      </c>
      <c r="G4" s="110">
        <f t="shared" si="0"/>
        <v>2030</v>
      </c>
      <c r="H4" s="110">
        <f t="shared" si="0"/>
        <v>2031</v>
      </c>
      <c r="I4" s="110">
        <f t="shared" si="0"/>
        <v>2032</v>
      </c>
      <c r="J4" s="110">
        <f t="shared" si="0"/>
        <v>2033</v>
      </c>
      <c r="K4" s="110">
        <f t="shared" si="0"/>
        <v>2034</v>
      </c>
      <c r="L4" s="110">
        <f t="shared" si="0"/>
        <v>2035</v>
      </c>
      <c r="M4" s="110">
        <f t="shared" si="0"/>
        <v>2036</v>
      </c>
      <c r="N4" s="110">
        <f t="shared" si="0"/>
        <v>2037</v>
      </c>
      <c r="O4" s="110">
        <f t="shared" si="0"/>
        <v>2038</v>
      </c>
      <c r="P4" s="110">
        <f t="shared" si="0"/>
        <v>2039</v>
      </c>
      <c r="Q4" s="110">
        <f t="shared" si="0"/>
        <v>2040</v>
      </c>
      <c r="R4" s="110">
        <f t="shared" si="0"/>
        <v>2041</v>
      </c>
      <c r="S4" s="110">
        <f t="shared" si="0"/>
        <v>2042</v>
      </c>
      <c r="T4" s="110">
        <f t="shared" si="0"/>
        <v>2043</v>
      </c>
      <c r="U4" s="110">
        <f t="shared" si="0"/>
        <v>2044</v>
      </c>
      <c r="V4" s="110">
        <f t="shared" si="0"/>
        <v>2045</v>
      </c>
      <c r="W4" s="110">
        <f t="shared" si="0"/>
        <v>2046</v>
      </c>
      <c r="X4" s="110">
        <f t="shared" si="0"/>
        <v>2047</v>
      </c>
      <c r="Y4" s="110">
        <f t="shared" si="0"/>
        <v>2048</v>
      </c>
      <c r="Z4" s="110">
        <f t="shared" si="0"/>
        <v>2049</v>
      </c>
      <c r="AA4" s="110">
        <f t="shared" si="0"/>
        <v>2050</v>
      </c>
      <c r="AB4" s="110">
        <f t="shared" si="0"/>
        <v>2051</v>
      </c>
      <c r="AC4" s="110">
        <f t="shared" si="0"/>
        <v>2052</v>
      </c>
      <c r="AD4" s="110">
        <f t="shared" si="0"/>
        <v>2053</v>
      </c>
      <c r="AE4" s="110">
        <f t="shared" si="0"/>
        <v>2054</v>
      </c>
      <c r="AF4" s="110">
        <f t="shared" si="0"/>
        <v>2055</v>
      </c>
      <c r="AG4" s="111">
        <f t="shared" si="0"/>
        <v>2056</v>
      </c>
    </row>
    <row r="5" spans="1:33">
      <c r="A5" s="29"/>
      <c r="B5" s="113" t="s">
        <v>142</v>
      </c>
      <c r="C5" s="29" t="s">
        <v>143</v>
      </c>
      <c r="D5" s="114">
        <v>0</v>
      </c>
      <c r="E5" s="114">
        <v>0</v>
      </c>
      <c r="F5" s="114">
        <v>0</v>
      </c>
      <c r="G5" s="114">
        <v>0</v>
      </c>
      <c r="H5" s="114">
        <v>0</v>
      </c>
      <c r="I5" s="114">
        <v>300</v>
      </c>
      <c r="J5" s="114">
        <v>300</v>
      </c>
      <c r="K5" s="114">
        <v>300</v>
      </c>
      <c r="L5" s="114">
        <v>300</v>
      </c>
      <c r="M5" s="114">
        <v>300</v>
      </c>
      <c r="N5" s="114">
        <v>300</v>
      </c>
      <c r="O5" s="114">
        <v>300</v>
      </c>
      <c r="P5" s="114">
        <v>300</v>
      </c>
      <c r="Q5" s="114">
        <v>300</v>
      </c>
      <c r="R5" s="114">
        <v>297</v>
      </c>
      <c r="S5" s="114">
        <v>294.02999999999997</v>
      </c>
      <c r="T5" s="114">
        <v>291.08969999999999</v>
      </c>
      <c r="U5" s="114">
        <v>288.17880300000002</v>
      </c>
      <c r="V5" s="114">
        <v>285.29701497000002</v>
      </c>
      <c r="W5" s="114">
        <v>282.44404482030001</v>
      </c>
      <c r="X5" s="114">
        <v>279.619604372097</v>
      </c>
      <c r="Y5" s="114">
        <v>276.82340832837599</v>
      </c>
      <c r="Z5" s="114">
        <v>274.05517424509202</v>
      </c>
      <c r="AA5" s="114">
        <v>271.31462250264099</v>
      </c>
      <c r="AB5" s="114">
        <v>268.60147627761501</v>
      </c>
      <c r="AC5" s="114">
        <v>265.91546151483902</v>
      </c>
      <c r="AD5" s="114">
        <v>263.25630689969</v>
      </c>
      <c r="AE5" s="114">
        <v>260.62374383069402</v>
      </c>
      <c r="AF5" s="114">
        <v>258.01750639238702</v>
      </c>
      <c r="AG5" s="115">
        <v>255.43733132846299</v>
      </c>
    </row>
    <row r="6" spans="1:33">
      <c r="A6" s="29"/>
      <c r="B6" s="113" t="s">
        <v>144</v>
      </c>
      <c r="C6" s="29" t="s">
        <v>145</v>
      </c>
      <c r="D6" s="29"/>
      <c r="E6" s="29"/>
      <c r="F6" s="29"/>
      <c r="G6" s="29"/>
      <c r="H6" s="29"/>
      <c r="I6" s="29"/>
      <c r="J6" s="29"/>
      <c r="K6" s="29"/>
      <c r="L6" s="29"/>
      <c r="M6" s="29"/>
      <c r="N6" s="29"/>
      <c r="O6" s="29"/>
      <c r="P6" s="29"/>
      <c r="Q6" s="29"/>
      <c r="R6" s="29"/>
      <c r="S6" s="29"/>
      <c r="T6" s="29"/>
      <c r="U6" s="29"/>
      <c r="V6" s="29"/>
      <c r="W6" s="29"/>
      <c r="X6" s="29"/>
      <c r="Y6" s="29"/>
      <c r="Z6" s="29"/>
      <c r="AA6" s="29"/>
      <c r="AB6" s="29"/>
      <c r="AC6" s="29"/>
      <c r="AG6" s="126"/>
    </row>
    <row r="7" spans="1:33">
      <c r="A7" s="29"/>
      <c r="B7" s="113" t="s">
        <v>146</v>
      </c>
      <c r="C7" s="29" t="s">
        <v>147</v>
      </c>
      <c r="D7" s="29"/>
      <c r="E7" s="29"/>
      <c r="F7" s="29"/>
      <c r="G7" s="29"/>
      <c r="H7" s="29"/>
      <c r="I7" s="29"/>
      <c r="J7" s="29"/>
      <c r="K7" s="29"/>
      <c r="L7" s="29"/>
      <c r="M7" s="29"/>
      <c r="N7" s="29"/>
      <c r="O7" s="29"/>
      <c r="P7" s="29"/>
      <c r="Q7" s="29"/>
      <c r="R7" s="29"/>
      <c r="S7" s="29"/>
      <c r="T7" s="29"/>
      <c r="U7" s="29"/>
      <c r="V7" s="29"/>
      <c r="W7" s="29"/>
      <c r="X7" s="29"/>
      <c r="Y7" s="29"/>
      <c r="Z7" s="29"/>
      <c r="AA7" s="29"/>
      <c r="AB7" s="29"/>
      <c r="AC7" s="29"/>
      <c r="AG7" s="126"/>
    </row>
    <row r="8" spans="1:33">
      <c r="A8" s="29"/>
      <c r="B8" s="118" t="s">
        <v>148</v>
      </c>
      <c r="C8" s="119" t="s">
        <v>145</v>
      </c>
      <c r="D8" s="119"/>
      <c r="E8" s="119"/>
      <c r="F8" s="119"/>
      <c r="G8" s="119"/>
      <c r="H8" s="119"/>
      <c r="I8" s="119"/>
      <c r="J8" s="119"/>
      <c r="K8" s="119"/>
      <c r="L8" s="119"/>
      <c r="M8" s="119"/>
      <c r="N8" s="119"/>
      <c r="O8" s="119"/>
      <c r="P8" s="119"/>
      <c r="Q8" s="119"/>
      <c r="R8" s="119"/>
      <c r="S8" s="119"/>
      <c r="T8" s="119"/>
      <c r="U8" s="119"/>
      <c r="V8" s="119"/>
      <c r="W8" s="119"/>
      <c r="X8" s="119"/>
      <c r="Y8" s="119"/>
      <c r="Z8" s="119"/>
      <c r="AA8" s="119"/>
      <c r="AB8" s="119"/>
      <c r="AC8" s="119"/>
      <c r="AD8" s="127"/>
      <c r="AE8" s="127"/>
      <c r="AF8" s="127"/>
      <c r="AG8" s="128"/>
    </row>
    <row r="9" spans="1:33">
      <c r="A9" s="29"/>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row>
    <row r="10" spans="1:33">
      <c r="A10" s="29"/>
      <c r="B10" s="121"/>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row>
    <row r="11" spans="1:33" ht="15.75" customHeight="1">
      <c r="A11" s="29"/>
      <c r="B11" s="254"/>
      <c r="C11" s="254"/>
      <c r="D11" s="254"/>
      <c r="E11" s="254"/>
      <c r="F11" s="254"/>
      <c r="G11" s="254"/>
      <c r="H11" s="254"/>
      <c r="I11" s="29"/>
      <c r="J11" s="29"/>
      <c r="K11" s="29"/>
      <c r="L11" s="29"/>
      <c r="M11" s="29"/>
      <c r="N11" s="29"/>
      <c r="O11" s="29"/>
      <c r="P11" s="29"/>
      <c r="Q11" s="29"/>
      <c r="R11" s="29"/>
      <c r="S11" s="29"/>
      <c r="T11" s="29"/>
      <c r="U11" s="29"/>
      <c r="V11" s="29"/>
      <c r="W11" s="29"/>
      <c r="X11" s="29"/>
      <c r="Y11" s="29"/>
      <c r="Z11" s="29"/>
      <c r="AA11" s="29"/>
      <c r="AB11" s="29"/>
      <c r="AC11" s="29"/>
    </row>
    <row r="12" spans="1:33">
      <c r="A12" s="29"/>
      <c r="B12" s="254"/>
      <c r="C12" s="254"/>
      <c r="D12" s="254"/>
      <c r="E12" s="254"/>
      <c r="F12" s="254"/>
      <c r="G12" s="254"/>
      <c r="H12" s="254"/>
      <c r="I12" s="29"/>
      <c r="J12" s="29"/>
      <c r="K12" s="29"/>
      <c r="L12" s="29"/>
      <c r="M12" s="29"/>
      <c r="N12" s="29"/>
      <c r="O12" s="29"/>
      <c r="P12" s="29"/>
      <c r="Q12" s="29"/>
      <c r="R12" s="29"/>
      <c r="S12" s="29"/>
      <c r="T12" s="29"/>
      <c r="U12" s="29"/>
      <c r="V12" s="29"/>
      <c r="W12" s="29"/>
      <c r="X12" s="29"/>
      <c r="Y12" s="29"/>
      <c r="Z12" s="29"/>
      <c r="AA12" s="29"/>
      <c r="AB12" s="29"/>
      <c r="AC12" s="29"/>
    </row>
    <row r="13" spans="1:33">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row>
  </sheetData>
  <mergeCells count="1">
    <mergeCell ref="B11:H12"/>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24"/>
  <sheetViews>
    <sheetView showGridLines="0" zoomScaleNormal="100" workbookViewId="0">
      <selection activeCell="G21" sqref="G21"/>
    </sheetView>
  </sheetViews>
  <sheetFormatPr defaultColWidth="8.7109375" defaultRowHeight="12.95"/>
  <cols>
    <col min="1" max="1" width="8.7109375" style="129"/>
    <col min="2" max="2" width="21.28515625" style="129" customWidth="1"/>
    <col min="3" max="3" width="17.7109375" style="129" customWidth="1"/>
    <col min="4" max="4" width="16.28515625" style="129" customWidth="1"/>
    <col min="5" max="29" width="9" style="129" customWidth="1"/>
    <col min="30" max="16384" width="8.7109375" style="129"/>
  </cols>
  <sheetData>
    <row r="1" spans="1:39">
      <c r="A1" s="26"/>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row>
    <row r="2" spans="1:39">
      <c r="A2" s="26"/>
      <c r="B2" s="107" t="s">
        <v>151</v>
      </c>
      <c r="C2" s="26"/>
      <c r="D2" s="26"/>
      <c r="E2" s="26"/>
      <c r="F2" s="130"/>
      <c r="G2" s="130"/>
      <c r="H2" s="130"/>
      <c r="I2" s="130"/>
      <c r="J2" s="130"/>
      <c r="K2" s="130"/>
      <c r="L2" s="130"/>
      <c r="M2" s="130"/>
      <c r="N2" s="130"/>
      <c r="O2" s="130"/>
      <c r="P2" s="130"/>
      <c r="Q2" s="130"/>
      <c r="R2" s="130"/>
      <c r="S2" s="130"/>
      <c r="T2" s="130"/>
      <c r="U2" s="130"/>
      <c r="V2" s="130"/>
      <c r="W2" s="26"/>
      <c r="X2" s="26"/>
      <c r="Y2" s="26"/>
      <c r="Z2" s="26"/>
      <c r="AA2" s="26"/>
      <c r="AB2" s="26"/>
      <c r="AC2" s="26"/>
    </row>
    <row r="3" spans="1:39">
      <c r="A3" s="26"/>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row>
    <row r="4" spans="1:39">
      <c r="A4" s="26"/>
      <c r="B4" s="109" t="s">
        <v>152</v>
      </c>
      <c r="C4" s="110" t="s">
        <v>153</v>
      </c>
      <c r="D4" s="110" t="s">
        <v>154</v>
      </c>
      <c r="E4" s="110">
        <v>2027</v>
      </c>
      <c r="F4" s="110">
        <v>2028</v>
      </c>
      <c r="G4" s="110">
        <v>2029</v>
      </c>
      <c r="H4" s="110">
        <v>2030</v>
      </c>
      <c r="I4" s="110">
        <v>2031</v>
      </c>
      <c r="J4" s="110">
        <v>2032</v>
      </c>
      <c r="K4" s="110">
        <v>2033</v>
      </c>
      <c r="L4" s="110">
        <v>2034</v>
      </c>
      <c r="M4" s="110">
        <v>2035</v>
      </c>
      <c r="N4" s="110">
        <v>2036</v>
      </c>
      <c r="O4" s="110">
        <v>2037</v>
      </c>
      <c r="P4" s="110">
        <v>2038</v>
      </c>
      <c r="Q4" s="110">
        <v>2039</v>
      </c>
      <c r="R4" s="110">
        <v>2040</v>
      </c>
      <c r="S4" s="110">
        <v>2041</v>
      </c>
      <c r="T4" s="110">
        <v>2042</v>
      </c>
      <c r="U4" s="110">
        <v>2043</v>
      </c>
      <c r="V4" s="110">
        <v>2044</v>
      </c>
      <c r="W4" s="110">
        <v>2045</v>
      </c>
      <c r="X4" s="110">
        <v>2046</v>
      </c>
      <c r="Y4" s="110">
        <f t="shared" ref="Y4:AM4" si="0">X4+1</f>
        <v>2047</v>
      </c>
      <c r="Z4" s="110">
        <f t="shared" si="0"/>
        <v>2048</v>
      </c>
      <c r="AA4" s="110">
        <f t="shared" si="0"/>
        <v>2049</v>
      </c>
      <c r="AB4" s="110">
        <f t="shared" si="0"/>
        <v>2050</v>
      </c>
      <c r="AC4" s="110">
        <f t="shared" si="0"/>
        <v>2051</v>
      </c>
      <c r="AD4" s="110">
        <f t="shared" si="0"/>
        <v>2052</v>
      </c>
      <c r="AE4" s="110">
        <f t="shared" si="0"/>
        <v>2053</v>
      </c>
      <c r="AF4" s="110">
        <f t="shared" si="0"/>
        <v>2054</v>
      </c>
      <c r="AG4" s="110">
        <f t="shared" si="0"/>
        <v>2055</v>
      </c>
      <c r="AH4" s="110">
        <f t="shared" si="0"/>
        <v>2056</v>
      </c>
      <c r="AI4" s="110">
        <f t="shared" si="0"/>
        <v>2057</v>
      </c>
      <c r="AJ4" s="110">
        <f t="shared" si="0"/>
        <v>2058</v>
      </c>
      <c r="AK4" s="110">
        <f t="shared" si="0"/>
        <v>2059</v>
      </c>
      <c r="AL4" s="110">
        <f t="shared" si="0"/>
        <v>2060</v>
      </c>
      <c r="AM4" s="110">
        <f t="shared" si="0"/>
        <v>2061</v>
      </c>
    </row>
    <row r="5" spans="1:39">
      <c r="A5" s="26"/>
      <c r="B5" s="131" t="s">
        <v>155</v>
      </c>
      <c r="C5" s="132" t="s">
        <v>156</v>
      </c>
      <c r="D5" s="26" t="s">
        <v>144</v>
      </c>
      <c r="E5" s="130"/>
      <c r="F5" s="130">
        <v>0.59</v>
      </c>
      <c r="G5" s="130">
        <v>0.58499999999999996</v>
      </c>
      <c r="H5" s="130">
        <v>0.57999999999999996</v>
      </c>
      <c r="I5" s="130">
        <v>0.57499999999999996</v>
      </c>
      <c r="J5" s="130">
        <v>0.56999999999999995</v>
      </c>
      <c r="K5" s="130">
        <v>0.56499999999999995</v>
      </c>
      <c r="L5" s="130">
        <v>0.56000000000000005</v>
      </c>
      <c r="M5" s="130">
        <v>0.55000000000000004</v>
      </c>
      <c r="N5" s="130">
        <v>0.54</v>
      </c>
      <c r="O5" s="130">
        <v>0.53</v>
      </c>
      <c r="P5" s="130"/>
      <c r="Q5" s="130"/>
      <c r="R5" s="130"/>
      <c r="S5" s="130"/>
      <c r="T5" s="130"/>
      <c r="U5" s="130"/>
      <c r="V5" s="130"/>
      <c r="W5" s="130"/>
      <c r="X5" s="130"/>
      <c r="Y5" s="130"/>
      <c r="Z5" s="130"/>
      <c r="AA5" s="130"/>
      <c r="AB5" s="130"/>
      <c r="AC5" s="130"/>
      <c r="AM5" s="133"/>
    </row>
    <row r="6" spans="1:39">
      <c r="A6" s="26"/>
      <c r="B6" s="131" t="s">
        <v>155</v>
      </c>
      <c r="C6" s="132" t="s">
        <v>156</v>
      </c>
      <c r="D6" s="26" t="s">
        <v>157</v>
      </c>
      <c r="E6" s="130"/>
      <c r="F6" s="130">
        <v>0.32800000000000001</v>
      </c>
      <c r="G6" s="130">
        <v>0.33200000000000002</v>
      </c>
      <c r="H6" s="130">
        <v>0.33600000000000002</v>
      </c>
      <c r="I6" s="130">
        <v>0.34</v>
      </c>
      <c r="J6" s="130">
        <v>0.34399999999999997</v>
      </c>
      <c r="K6" s="130">
        <v>0.34799999999999998</v>
      </c>
      <c r="L6" s="130">
        <v>0.35199999999999998</v>
      </c>
      <c r="M6" s="130">
        <v>0.36</v>
      </c>
      <c r="N6" s="130">
        <v>0.36799999999999999</v>
      </c>
      <c r="O6" s="130">
        <v>0.376</v>
      </c>
      <c r="P6" s="130"/>
      <c r="Q6" s="130"/>
      <c r="R6" s="130"/>
      <c r="S6" s="130"/>
      <c r="T6" s="130"/>
      <c r="U6" s="130"/>
      <c r="V6" s="130"/>
      <c r="W6" s="130"/>
      <c r="X6" s="130"/>
      <c r="Y6" s="130"/>
      <c r="Z6" s="130"/>
      <c r="AA6" s="130"/>
      <c r="AB6" s="130"/>
      <c r="AC6" s="130"/>
      <c r="AM6" s="133"/>
    </row>
    <row r="7" spans="1:39">
      <c r="A7" s="26"/>
      <c r="B7" s="131" t="s">
        <v>155</v>
      </c>
      <c r="C7" s="132" t="s">
        <v>156</v>
      </c>
      <c r="D7" s="26" t="s">
        <v>148</v>
      </c>
      <c r="E7" s="130"/>
      <c r="F7" s="130">
        <v>8.2000000000000003E-2</v>
      </c>
      <c r="G7" s="130">
        <v>8.3000000000000004E-2</v>
      </c>
      <c r="H7" s="130">
        <v>8.4000000000000005E-2</v>
      </c>
      <c r="I7" s="130">
        <v>8.5000000000000006E-2</v>
      </c>
      <c r="J7" s="130">
        <v>8.5999999999999993E-2</v>
      </c>
      <c r="K7" s="130">
        <v>8.6999999999999994E-2</v>
      </c>
      <c r="L7" s="130">
        <v>8.7999999999999995E-2</v>
      </c>
      <c r="M7" s="130">
        <v>0.09</v>
      </c>
      <c r="N7" s="130">
        <v>9.1999999999999998E-2</v>
      </c>
      <c r="O7" s="130">
        <v>9.4E-2</v>
      </c>
      <c r="P7" s="130"/>
      <c r="Q7" s="130"/>
      <c r="R7" s="130"/>
      <c r="S7" s="130"/>
      <c r="T7" s="130"/>
      <c r="U7" s="130"/>
      <c r="V7" s="130"/>
      <c r="W7" s="130"/>
      <c r="X7" s="130"/>
      <c r="Y7" s="130"/>
      <c r="Z7" s="130"/>
      <c r="AA7" s="130"/>
      <c r="AB7" s="130"/>
      <c r="AC7" s="130"/>
      <c r="AM7" s="133"/>
    </row>
    <row r="8" spans="1:39">
      <c r="A8" s="26"/>
      <c r="B8" s="131" t="s">
        <v>158</v>
      </c>
      <c r="C8" s="132" t="s">
        <v>156</v>
      </c>
      <c r="D8" s="26" t="s">
        <v>144</v>
      </c>
      <c r="E8" s="130"/>
      <c r="F8" s="130"/>
      <c r="G8" s="130"/>
      <c r="H8" s="130">
        <v>0.35</v>
      </c>
      <c r="I8" s="130">
        <v>0.34</v>
      </c>
      <c r="J8" s="130">
        <v>0.33</v>
      </c>
      <c r="K8" s="130">
        <v>0.32</v>
      </c>
      <c r="L8" s="130">
        <v>0.31</v>
      </c>
      <c r="M8" s="130">
        <v>0.3</v>
      </c>
      <c r="N8" s="130">
        <v>0.28999999999999998</v>
      </c>
      <c r="O8" s="130">
        <v>0.28000000000000003</v>
      </c>
      <c r="P8" s="130">
        <v>0.27</v>
      </c>
      <c r="Q8" s="130">
        <v>0.26</v>
      </c>
      <c r="R8" s="130">
        <v>0.25</v>
      </c>
      <c r="S8" s="130">
        <v>0.24</v>
      </c>
      <c r="T8" s="130">
        <v>0.23</v>
      </c>
      <c r="U8" s="130">
        <v>0.22</v>
      </c>
      <c r="V8" s="130">
        <v>0.21</v>
      </c>
      <c r="W8" s="130"/>
      <c r="X8" s="130"/>
      <c r="Y8" s="130"/>
      <c r="Z8" s="130"/>
      <c r="AA8" s="130"/>
      <c r="AB8" s="130"/>
      <c r="AC8" s="130"/>
      <c r="AM8" s="133"/>
    </row>
    <row r="9" spans="1:39">
      <c r="A9" s="26"/>
      <c r="B9" s="131" t="s">
        <v>158</v>
      </c>
      <c r="C9" s="132" t="s">
        <v>156</v>
      </c>
      <c r="D9" s="26" t="s">
        <v>157</v>
      </c>
      <c r="E9" s="130"/>
      <c r="F9" s="130"/>
      <c r="G9" s="130"/>
      <c r="H9" s="130">
        <v>0.61250000000000004</v>
      </c>
      <c r="I9" s="130">
        <v>0.61750000000000005</v>
      </c>
      <c r="J9" s="130">
        <v>0.62250000000000005</v>
      </c>
      <c r="K9" s="130">
        <v>0.62749999999999995</v>
      </c>
      <c r="L9" s="130">
        <v>0.63249999999999995</v>
      </c>
      <c r="M9" s="130">
        <v>0.63749999999999996</v>
      </c>
      <c r="N9" s="130">
        <v>0.64249999999999996</v>
      </c>
      <c r="O9" s="130">
        <v>0.64749999999999996</v>
      </c>
      <c r="P9" s="130">
        <v>0.65249999999999997</v>
      </c>
      <c r="Q9" s="130">
        <v>0.65749999999999997</v>
      </c>
      <c r="R9" s="130">
        <v>0.66249999999999998</v>
      </c>
      <c r="S9" s="130">
        <v>0.66749999999999998</v>
      </c>
      <c r="T9" s="130">
        <v>0.67249999999999999</v>
      </c>
      <c r="U9" s="130">
        <v>0.67749999999999999</v>
      </c>
      <c r="V9" s="130">
        <v>0.6825</v>
      </c>
      <c r="W9" s="130"/>
      <c r="X9" s="130"/>
      <c r="Y9" s="130"/>
      <c r="Z9" s="130"/>
      <c r="AA9" s="130"/>
      <c r="AB9" s="130"/>
      <c r="AC9" s="130"/>
      <c r="AM9" s="133"/>
    </row>
    <row r="10" spans="1:39">
      <c r="A10" s="26"/>
      <c r="B10" s="131" t="s">
        <v>158</v>
      </c>
      <c r="C10" s="132" t="s">
        <v>156</v>
      </c>
      <c r="D10" s="26" t="s">
        <v>148</v>
      </c>
      <c r="E10" s="130"/>
      <c r="F10" s="130"/>
      <c r="G10" s="130"/>
      <c r="H10" s="130">
        <v>3.7499999999999999E-2</v>
      </c>
      <c r="I10" s="130">
        <v>4.2500000000000003E-2</v>
      </c>
      <c r="J10" s="130">
        <v>4.7500000000000001E-2</v>
      </c>
      <c r="K10" s="130">
        <v>5.2499999999999998E-2</v>
      </c>
      <c r="L10" s="130">
        <v>5.7500000000000002E-2</v>
      </c>
      <c r="M10" s="130">
        <v>6.25E-2</v>
      </c>
      <c r="N10" s="130">
        <v>6.7500000000000004E-2</v>
      </c>
      <c r="O10" s="130">
        <v>7.2499999999999995E-2</v>
      </c>
      <c r="P10" s="130">
        <v>7.7499999999999999E-2</v>
      </c>
      <c r="Q10" s="130">
        <v>8.2500000000000004E-2</v>
      </c>
      <c r="R10" s="130">
        <v>8.7499999999999994E-2</v>
      </c>
      <c r="S10" s="130">
        <v>9.2499999999999999E-2</v>
      </c>
      <c r="T10" s="130">
        <v>9.7500000000000003E-2</v>
      </c>
      <c r="U10" s="130">
        <v>0.10249999999999999</v>
      </c>
      <c r="V10" s="130">
        <v>0.1075</v>
      </c>
      <c r="W10" s="130"/>
      <c r="X10" s="130"/>
      <c r="Y10" s="130"/>
      <c r="Z10" s="130"/>
      <c r="AA10" s="130"/>
      <c r="AB10" s="130"/>
      <c r="AC10" s="130"/>
      <c r="AM10" s="133"/>
    </row>
    <row r="11" spans="1:39">
      <c r="A11" s="26"/>
      <c r="B11" s="131" t="s">
        <v>159</v>
      </c>
      <c r="C11" s="132" t="s">
        <v>156</v>
      </c>
      <c r="D11" s="26" t="s">
        <v>144</v>
      </c>
      <c r="E11" s="130"/>
      <c r="F11" s="130"/>
      <c r="G11" s="130"/>
      <c r="H11" s="130"/>
      <c r="I11" s="130"/>
      <c r="J11" s="130">
        <v>0.85</v>
      </c>
      <c r="K11" s="130">
        <v>0.85</v>
      </c>
      <c r="L11" s="130">
        <v>0.85</v>
      </c>
      <c r="M11" s="130">
        <v>0.85</v>
      </c>
      <c r="N11" s="130">
        <v>0.85</v>
      </c>
      <c r="O11" s="130">
        <v>0.85</v>
      </c>
      <c r="P11" s="130">
        <v>0.84750000000000003</v>
      </c>
      <c r="Q11" s="130">
        <v>0.84499999999999997</v>
      </c>
      <c r="R11" s="130">
        <v>0.84250000000000003</v>
      </c>
      <c r="S11" s="130">
        <v>0.84</v>
      </c>
      <c r="T11" s="130">
        <v>0.83750000000000002</v>
      </c>
      <c r="U11" s="130">
        <v>0.83499999999999996</v>
      </c>
      <c r="V11" s="130">
        <v>0.83250000000000002</v>
      </c>
      <c r="W11" s="130">
        <v>0.83</v>
      </c>
      <c r="X11" s="130">
        <v>0.82750000000000101</v>
      </c>
      <c r="Y11" s="130">
        <v>0.82500000000000095</v>
      </c>
      <c r="Z11" s="130">
        <v>0.82250000000000101</v>
      </c>
      <c r="AA11" s="130">
        <v>0.82000000000000095</v>
      </c>
      <c r="AB11" s="130">
        <v>0.817500000000001</v>
      </c>
      <c r="AC11" s="130">
        <v>0.81500000000000095</v>
      </c>
      <c r="AD11" s="130">
        <v>0.812500000000001</v>
      </c>
      <c r="AE11" s="130">
        <v>0.81000000000000105</v>
      </c>
      <c r="AF11" s="130">
        <v>0.80750000000000099</v>
      </c>
      <c r="AG11" s="130">
        <v>0.80500000000000105</v>
      </c>
      <c r="AH11" s="130">
        <v>0.80250000000000099</v>
      </c>
      <c r="AI11" s="130"/>
      <c r="AJ11" s="130"/>
      <c r="AK11" s="130"/>
      <c r="AL11" s="130"/>
      <c r="AM11" s="134"/>
    </row>
    <row r="12" spans="1:39">
      <c r="A12" s="26"/>
      <c r="B12" s="131" t="s">
        <v>159</v>
      </c>
      <c r="C12" s="132" t="s">
        <v>156</v>
      </c>
      <c r="D12" s="26" t="s">
        <v>157</v>
      </c>
      <c r="E12" s="130"/>
      <c r="F12" s="130"/>
      <c r="G12" s="130"/>
      <c r="H12" s="130"/>
      <c r="I12" s="130"/>
      <c r="J12" s="130">
        <v>0.1</v>
      </c>
      <c r="K12" s="130">
        <v>0.1</v>
      </c>
      <c r="L12" s="130">
        <v>0.1</v>
      </c>
      <c r="M12" s="130">
        <v>0.1</v>
      </c>
      <c r="N12" s="130">
        <v>0.1</v>
      </c>
      <c r="O12" s="130">
        <v>0.1</v>
      </c>
      <c r="P12" s="130">
        <v>0.10100000000000001</v>
      </c>
      <c r="Q12" s="130">
        <v>0.10199999999999999</v>
      </c>
      <c r="R12" s="130">
        <v>0.10299999999999999</v>
      </c>
      <c r="S12" s="130">
        <v>0.104</v>
      </c>
      <c r="T12" s="130">
        <v>0.105</v>
      </c>
      <c r="U12" s="130">
        <v>0.106</v>
      </c>
      <c r="V12" s="130">
        <v>0.107</v>
      </c>
      <c r="W12" s="130">
        <v>0.108</v>
      </c>
      <c r="X12" s="130">
        <v>0.109</v>
      </c>
      <c r="Y12" s="130">
        <v>0.11</v>
      </c>
      <c r="Z12" s="130">
        <v>0.111</v>
      </c>
      <c r="AA12" s="130">
        <v>0.112</v>
      </c>
      <c r="AB12" s="130">
        <v>0.113</v>
      </c>
      <c r="AC12" s="130">
        <v>0.114</v>
      </c>
      <c r="AD12" s="130">
        <v>0.115</v>
      </c>
      <c r="AE12" s="130">
        <v>0.11600000000000001</v>
      </c>
      <c r="AF12" s="130">
        <v>0.11700000000000001</v>
      </c>
      <c r="AG12" s="130">
        <v>0.11799999999999999</v>
      </c>
      <c r="AH12" s="130">
        <v>0.11899999999999999</v>
      </c>
      <c r="AI12" s="130"/>
      <c r="AJ12" s="130"/>
      <c r="AK12" s="130"/>
      <c r="AL12" s="130"/>
      <c r="AM12" s="134"/>
    </row>
    <row r="13" spans="1:39">
      <c r="A13" s="26"/>
      <c r="B13" s="135" t="s">
        <v>159</v>
      </c>
      <c r="C13" s="136" t="s">
        <v>156</v>
      </c>
      <c r="D13" s="137" t="s">
        <v>148</v>
      </c>
      <c r="E13" s="138"/>
      <c r="F13" s="138"/>
      <c r="G13" s="138"/>
      <c r="H13" s="138"/>
      <c r="I13" s="138"/>
      <c r="J13" s="138">
        <v>0.05</v>
      </c>
      <c r="K13" s="138">
        <v>0.05</v>
      </c>
      <c r="L13" s="138">
        <v>0.05</v>
      </c>
      <c r="M13" s="138">
        <v>0.05</v>
      </c>
      <c r="N13" s="138">
        <v>0.05</v>
      </c>
      <c r="O13" s="138">
        <v>0.05</v>
      </c>
      <c r="P13" s="138">
        <v>5.1499999999999997E-2</v>
      </c>
      <c r="Q13" s="138">
        <v>5.2999999999999901E-2</v>
      </c>
      <c r="R13" s="138">
        <v>5.4499999999999903E-2</v>
      </c>
      <c r="S13" s="138">
        <v>5.59999999999998E-2</v>
      </c>
      <c r="T13" s="138">
        <v>5.7499999999999801E-2</v>
      </c>
      <c r="U13" s="138">
        <v>5.8999999999999699E-2</v>
      </c>
      <c r="V13" s="138">
        <v>6.0499999999999603E-2</v>
      </c>
      <c r="W13" s="138">
        <v>6.1999999999999597E-2</v>
      </c>
      <c r="X13" s="138">
        <v>6.3499999999999501E-2</v>
      </c>
      <c r="Y13" s="138">
        <v>6.4999999999999503E-2</v>
      </c>
      <c r="Z13" s="138">
        <v>6.6499999999999407E-2</v>
      </c>
      <c r="AA13" s="138">
        <v>6.7999999999999394E-2</v>
      </c>
      <c r="AB13" s="138">
        <v>6.9499999999999298E-2</v>
      </c>
      <c r="AC13" s="138">
        <v>7.09999999999993E-2</v>
      </c>
      <c r="AD13" s="138">
        <v>7.2499999999999204E-2</v>
      </c>
      <c r="AE13" s="138">
        <v>7.3999999999999205E-2</v>
      </c>
      <c r="AF13" s="138">
        <v>7.5499999999999096E-2</v>
      </c>
      <c r="AG13" s="138">
        <v>7.6999999999999E-2</v>
      </c>
      <c r="AH13" s="138">
        <v>7.8499999999999001E-2</v>
      </c>
      <c r="AI13" s="138"/>
      <c r="AJ13" s="138"/>
      <c r="AK13" s="138"/>
      <c r="AL13" s="138"/>
      <c r="AM13" s="139"/>
    </row>
    <row r="14" spans="1:39">
      <c r="A14" s="26"/>
      <c r="B14" s="26"/>
      <c r="C14" s="132"/>
      <c r="D14" s="26"/>
      <c r="E14" s="130"/>
      <c r="F14" s="130"/>
      <c r="G14" s="130"/>
      <c r="H14" s="130"/>
      <c r="I14" s="130"/>
      <c r="J14" s="130"/>
      <c r="K14" s="130"/>
      <c r="L14" s="130"/>
      <c r="M14" s="130"/>
      <c r="N14" s="130"/>
      <c r="O14" s="130"/>
      <c r="P14" s="130"/>
      <c r="Q14" s="130"/>
      <c r="R14" s="130"/>
      <c r="S14" s="130"/>
      <c r="T14" s="130"/>
      <c r="U14" s="130"/>
      <c r="V14" s="130"/>
      <c r="W14" s="130"/>
      <c r="X14" s="130"/>
      <c r="Y14" s="130"/>
      <c r="Z14" s="130"/>
      <c r="AA14" s="130"/>
      <c r="AB14" s="130"/>
      <c r="AC14" s="130"/>
    </row>
    <row r="15" spans="1:39">
      <c r="A15" s="26"/>
      <c r="B15" s="25" t="s">
        <v>29</v>
      </c>
      <c r="C15" s="45"/>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row>
    <row r="16" spans="1:39">
      <c r="A16" s="26"/>
      <c r="B16" s="26" t="s">
        <v>160</v>
      </c>
      <c r="C16" s="45"/>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row>
    <row r="17" spans="1:29">
      <c r="A17" s="26"/>
      <c r="B17" s="26" t="s">
        <v>161</v>
      </c>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row>
    <row r="18" spans="1:29">
      <c r="A18" s="26"/>
      <c r="B18" s="26" t="s">
        <v>162</v>
      </c>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row>
    <row r="19" spans="1:29">
      <c r="A19" s="26"/>
      <c r="B19" s="26" t="s">
        <v>163</v>
      </c>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row>
    <row r="22" spans="1:29">
      <c r="I22" s="129">
        <v>1028</v>
      </c>
    </row>
    <row r="23" spans="1:29">
      <c r="I23" s="129">
        <v>3.38</v>
      </c>
    </row>
    <row r="24" spans="1:29">
      <c r="I24" s="129">
        <f>I22*I23</f>
        <v>3474.64</v>
      </c>
    </row>
  </sheetData>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N31"/>
  <sheetViews>
    <sheetView showGridLines="0" zoomScaleNormal="100" workbookViewId="0">
      <selection activeCell="I7" sqref="I7"/>
    </sheetView>
  </sheetViews>
  <sheetFormatPr defaultColWidth="9.28515625" defaultRowHeight="12.95"/>
  <cols>
    <col min="1" max="1" width="9.28515625" style="28"/>
    <col min="2" max="2" width="19" style="28" customWidth="1"/>
    <col min="3" max="4" width="18.42578125" style="28" customWidth="1"/>
    <col min="5" max="5" width="14.28515625" style="28" customWidth="1"/>
    <col min="6" max="16384" width="9.28515625" style="28"/>
  </cols>
  <sheetData>
    <row r="1" spans="1:40">
      <c r="A1" s="140"/>
      <c r="B1" s="141"/>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row>
    <row r="2" spans="1:40">
      <c r="A2" s="29"/>
      <c r="B2" s="107" t="s">
        <v>164</v>
      </c>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row>
    <row r="3" spans="1:40">
      <c r="A3" s="29"/>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row>
    <row r="4" spans="1:40" s="140" customFormat="1" ht="14.25" customHeight="1">
      <c r="A4" s="142"/>
      <c r="B4" s="109" t="s">
        <v>165</v>
      </c>
      <c r="C4" s="110" t="s">
        <v>166</v>
      </c>
      <c r="D4" s="110" t="s">
        <v>152</v>
      </c>
      <c r="E4" s="110" t="s">
        <v>141</v>
      </c>
      <c r="F4" s="110">
        <v>2027</v>
      </c>
      <c r="G4" s="110">
        <f t="shared" ref="G4:AN4" si="0">F4+1</f>
        <v>2028</v>
      </c>
      <c r="H4" s="110">
        <f t="shared" si="0"/>
        <v>2029</v>
      </c>
      <c r="I4" s="110">
        <f t="shared" si="0"/>
        <v>2030</v>
      </c>
      <c r="J4" s="110">
        <f t="shared" si="0"/>
        <v>2031</v>
      </c>
      <c r="K4" s="110">
        <f t="shared" si="0"/>
        <v>2032</v>
      </c>
      <c r="L4" s="110">
        <f t="shared" si="0"/>
        <v>2033</v>
      </c>
      <c r="M4" s="110">
        <f t="shared" si="0"/>
        <v>2034</v>
      </c>
      <c r="N4" s="110">
        <f t="shared" si="0"/>
        <v>2035</v>
      </c>
      <c r="O4" s="110">
        <f t="shared" si="0"/>
        <v>2036</v>
      </c>
      <c r="P4" s="110">
        <f t="shared" si="0"/>
        <v>2037</v>
      </c>
      <c r="Q4" s="110">
        <f t="shared" si="0"/>
        <v>2038</v>
      </c>
      <c r="R4" s="110">
        <f t="shared" si="0"/>
        <v>2039</v>
      </c>
      <c r="S4" s="110">
        <f t="shared" si="0"/>
        <v>2040</v>
      </c>
      <c r="T4" s="110">
        <f t="shared" si="0"/>
        <v>2041</v>
      </c>
      <c r="U4" s="110">
        <f t="shared" si="0"/>
        <v>2042</v>
      </c>
      <c r="V4" s="110">
        <f t="shared" si="0"/>
        <v>2043</v>
      </c>
      <c r="W4" s="110">
        <f t="shared" si="0"/>
        <v>2044</v>
      </c>
      <c r="X4" s="110">
        <f t="shared" si="0"/>
        <v>2045</v>
      </c>
      <c r="Y4" s="110">
        <f t="shared" si="0"/>
        <v>2046</v>
      </c>
      <c r="Z4" s="110">
        <f t="shared" si="0"/>
        <v>2047</v>
      </c>
      <c r="AA4" s="110">
        <f t="shared" si="0"/>
        <v>2048</v>
      </c>
      <c r="AB4" s="110">
        <f t="shared" si="0"/>
        <v>2049</v>
      </c>
      <c r="AC4" s="110">
        <f t="shared" si="0"/>
        <v>2050</v>
      </c>
      <c r="AD4" s="110">
        <f t="shared" si="0"/>
        <v>2051</v>
      </c>
      <c r="AE4" s="110">
        <f t="shared" si="0"/>
        <v>2052</v>
      </c>
      <c r="AF4" s="110">
        <f t="shared" si="0"/>
        <v>2053</v>
      </c>
      <c r="AG4" s="110">
        <f t="shared" si="0"/>
        <v>2054</v>
      </c>
      <c r="AH4" s="110">
        <f t="shared" si="0"/>
        <v>2055</v>
      </c>
      <c r="AI4" s="110">
        <f t="shared" si="0"/>
        <v>2056</v>
      </c>
      <c r="AJ4" s="110">
        <f t="shared" si="0"/>
        <v>2057</v>
      </c>
      <c r="AK4" s="110">
        <f t="shared" si="0"/>
        <v>2058</v>
      </c>
      <c r="AL4" s="110">
        <f t="shared" si="0"/>
        <v>2059</v>
      </c>
      <c r="AM4" s="110">
        <f t="shared" si="0"/>
        <v>2060</v>
      </c>
      <c r="AN4" s="110">
        <f t="shared" si="0"/>
        <v>2061</v>
      </c>
    </row>
    <row r="5" spans="1:40">
      <c r="A5" s="29"/>
      <c r="B5" s="113" t="s">
        <v>167</v>
      </c>
      <c r="C5" s="29" t="s">
        <v>168</v>
      </c>
      <c r="D5" s="29" t="s">
        <v>136</v>
      </c>
      <c r="E5" s="29" t="s">
        <v>169</v>
      </c>
      <c r="F5" s="114">
        <v>80.98</v>
      </c>
      <c r="G5" s="114">
        <v>72.38</v>
      </c>
      <c r="H5" s="114">
        <v>69.47</v>
      </c>
      <c r="I5" s="114">
        <v>69.47</v>
      </c>
      <c r="J5" s="114">
        <v>69.47</v>
      </c>
      <c r="K5" s="114">
        <v>69.47</v>
      </c>
      <c r="L5" s="114">
        <v>69.47</v>
      </c>
      <c r="M5" s="114">
        <v>69.47</v>
      </c>
      <c r="N5" s="114">
        <v>69.47</v>
      </c>
      <c r="O5" s="114">
        <v>69.47</v>
      </c>
      <c r="P5" s="114">
        <v>69.47</v>
      </c>
      <c r="Q5" s="114">
        <v>69.47</v>
      </c>
      <c r="R5" s="114">
        <v>69.47</v>
      </c>
      <c r="S5" s="114">
        <v>69.47</v>
      </c>
      <c r="T5" s="114">
        <v>69.47</v>
      </c>
      <c r="U5" s="114">
        <v>69.47</v>
      </c>
      <c r="V5" s="114">
        <v>69.47</v>
      </c>
      <c r="W5" s="114">
        <v>69.47</v>
      </c>
      <c r="X5" s="114">
        <v>69.47</v>
      </c>
      <c r="Y5" s="114">
        <v>69.47</v>
      </c>
      <c r="Z5" s="114">
        <v>69.47</v>
      </c>
      <c r="AA5" s="114">
        <v>69.47</v>
      </c>
      <c r="AB5" s="114">
        <v>69.47</v>
      </c>
      <c r="AC5" s="114">
        <v>69.47</v>
      </c>
      <c r="AD5" s="114">
        <v>69.47</v>
      </c>
      <c r="AE5" s="114">
        <v>69.47</v>
      </c>
      <c r="AF5" s="114">
        <v>69.47</v>
      </c>
      <c r="AG5" s="114">
        <v>69.47</v>
      </c>
      <c r="AH5" s="114">
        <v>69.47</v>
      </c>
      <c r="AI5" s="114">
        <v>69.47</v>
      </c>
      <c r="AJ5" s="114">
        <v>69.47</v>
      </c>
      <c r="AK5" s="114">
        <v>69.47</v>
      </c>
      <c r="AL5" s="114">
        <v>69.47</v>
      </c>
      <c r="AM5" s="114">
        <v>69.47</v>
      </c>
      <c r="AN5" s="115">
        <v>69.47</v>
      </c>
    </row>
    <row r="6" spans="1:40">
      <c r="A6" s="29"/>
      <c r="B6" s="113" t="s">
        <v>170</v>
      </c>
      <c r="C6" s="29" t="s">
        <v>171</v>
      </c>
      <c r="D6" s="29" t="s">
        <v>172</v>
      </c>
      <c r="E6" s="29" t="s">
        <v>173</v>
      </c>
      <c r="F6" s="114">
        <v>3.06</v>
      </c>
      <c r="G6" s="114">
        <v>3.38</v>
      </c>
      <c r="H6" s="114">
        <v>3.38</v>
      </c>
      <c r="I6" s="114">
        <v>3.38</v>
      </c>
      <c r="J6" s="114">
        <v>3.38</v>
      </c>
      <c r="K6" s="114">
        <v>3.38</v>
      </c>
      <c r="L6" s="114">
        <v>3.38</v>
      </c>
      <c r="M6" s="114">
        <v>3.38</v>
      </c>
      <c r="N6" s="114">
        <v>3.38</v>
      </c>
      <c r="O6" s="114">
        <v>3.38</v>
      </c>
      <c r="P6" s="114">
        <v>3.38</v>
      </c>
      <c r="Q6" s="114">
        <v>3.38</v>
      </c>
      <c r="R6" s="114">
        <v>3.38</v>
      </c>
      <c r="S6" s="114">
        <v>3.38</v>
      </c>
      <c r="T6" s="114">
        <v>3.38</v>
      </c>
      <c r="U6" s="114">
        <v>3.38</v>
      </c>
      <c r="V6" s="114">
        <v>3.38</v>
      </c>
      <c r="W6" s="114">
        <v>3.38</v>
      </c>
      <c r="X6" s="114">
        <v>3.38</v>
      </c>
      <c r="Y6" s="114">
        <v>3.38</v>
      </c>
      <c r="Z6" s="114">
        <v>3.38</v>
      </c>
      <c r="AA6" s="114">
        <v>3.38</v>
      </c>
      <c r="AB6" s="114">
        <v>3.38</v>
      </c>
      <c r="AC6" s="114">
        <v>3.38</v>
      </c>
      <c r="AD6" s="114">
        <v>3.38</v>
      </c>
      <c r="AE6" s="114">
        <v>3.38</v>
      </c>
      <c r="AF6" s="114">
        <v>3.38</v>
      </c>
      <c r="AG6" s="114">
        <v>3.38</v>
      </c>
      <c r="AH6" s="114">
        <v>3.38</v>
      </c>
      <c r="AI6" s="114">
        <v>3.38</v>
      </c>
      <c r="AJ6" s="114">
        <v>3.38</v>
      </c>
      <c r="AK6" s="114">
        <v>3.38</v>
      </c>
      <c r="AL6" s="114">
        <v>3.38</v>
      </c>
      <c r="AM6" s="114">
        <v>3.38</v>
      </c>
      <c r="AN6" s="115">
        <v>3.38</v>
      </c>
    </row>
    <row r="7" spans="1:40">
      <c r="A7" s="29"/>
      <c r="B7" s="113" t="s">
        <v>174</v>
      </c>
      <c r="C7" s="29" t="s">
        <v>175</v>
      </c>
      <c r="D7" s="29" t="s">
        <v>172</v>
      </c>
      <c r="E7" s="29" t="s">
        <v>169</v>
      </c>
      <c r="F7" s="114">
        <v>28.34</v>
      </c>
      <c r="G7" s="114">
        <v>25.33</v>
      </c>
      <c r="H7" s="114">
        <v>24.31</v>
      </c>
      <c r="I7" s="114">
        <v>24.31</v>
      </c>
      <c r="J7" s="114">
        <v>24.31</v>
      </c>
      <c r="K7" s="114">
        <v>24.31</v>
      </c>
      <c r="L7" s="114">
        <v>24.31</v>
      </c>
      <c r="M7" s="114">
        <v>24.31</v>
      </c>
      <c r="N7" s="114">
        <v>24.31</v>
      </c>
      <c r="O7" s="114">
        <v>24.31</v>
      </c>
      <c r="P7" s="114">
        <v>24.31</v>
      </c>
      <c r="Q7" s="114">
        <v>24.31</v>
      </c>
      <c r="R7" s="114">
        <v>24.31</v>
      </c>
      <c r="S7" s="114">
        <v>24.31</v>
      </c>
      <c r="T7" s="114">
        <v>24.31</v>
      </c>
      <c r="U7" s="114">
        <v>24.31</v>
      </c>
      <c r="V7" s="114">
        <v>24.31</v>
      </c>
      <c r="W7" s="114">
        <v>24.31</v>
      </c>
      <c r="X7" s="114">
        <v>24.31</v>
      </c>
      <c r="Y7" s="114">
        <v>24.31</v>
      </c>
      <c r="Z7" s="114">
        <v>24.31</v>
      </c>
      <c r="AA7" s="114">
        <v>24.31</v>
      </c>
      <c r="AB7" s="114">
        <v>24.31</v>
      </c>
      <c r="AC7" s="114">
        <v>24.31</v>
      </c>
      <c r="AD7" s="114">
        <v>24.31</v>
      </c>
      <c r="AE7" s="114">
        <v>24.31</v>
      </c>
      <c r="AF7" s="114">
        <v>24.31</v>
      </c>
      <c r="AG7" s="114">
        <v>24.31</v>
      </c>
      <c r="AH7" s="114">
        <v>24.31</v>
      </c>
      <c r="AI7" s="114">
        <v>24.31</v>
      </c>
      <c r="AJ7" s="114">
        <v>24.31</v>
      </c>
      <c r="AK7" s="114">
        <v>24.31</v>
      </c>
      <c r="AL7" s="114">
        <v>24.31</v>
      </c>
      <c r="AM7" s="114">
        <v>24.31</v>
      </c>
      <c r="AN7" s="115">
        <v>24.31</v>
      </c>
    </row>
    <row r="8" spans="1:40">
      <c r="A8" s="29"/>
      <c r="B8" s="113" t="s">
        <v>176</v>
      </c>
      <c r="C8" s="29" t="s">
        <v>168</v>
      </c>
      <c r="D8" s="29" t="s">
        <v>177</v>
      </c>
      <c r="E8" s="29" t="s">
        <v>169</v>
      </c>
      <c r="F8" s="114">
        <v>86.92</v>
      </c>
      <c r="G8" s="114">
        <v>77.63</v>
      </c>
      <c r="H8" s="114">
        <v>74.37</v>
      </c>
      <c r="I8" s="114">
        <v>74.37</v>
      </c>
      <c r="J8" s="114">
        <v>74.37</v>
      </c>
      <c r="K8" s="114">
        <v>74.37</v>
      </c>
      <c r="L8" s="114">
        <v>74.37</v>
      </c>
      <c r="M8" s="114">
        <v>74.37</v>
      </c>
      <c r="N8" s="114">
        <v>74.37</v>
      </c>
      <c r="O8" s="114">
        <v>74.37</v>
      </c>
      <c r="P8" s="114">
        <v>74.37</v>
      </c>
      <c r="Q8" s="114">
        <v>74.37</v>
      </c>
      <c r="R8" s="114">
        <v>74.37</v>
      </c>
      <c r="S8" s="114">
        <v>74.37</v>
      </c>
      <c r="T8" s="114">
        <v>74.37</v>
      </c>
      <c r="U8" s="114">
        <v>74.37</v>
      </c>
      <c r="V8" s="114">
        <v>74.37</v>
      </c>
      <c r="W8" s="114">
        <v>74.37</v>
      </c>
      <c r="X8" s="114">
        <v>74.37</v>
      </c>
      <c r="Y8" s="114">
        <v>74.37</v>
      </c>
      <c r="Z8" s="114">
        <v>74.37</v>
      </c>
      <c r="AA8" s="114">
        <v>74.37</v>
      </c>
      <c r="AB8" s="114">
        <v>74.37</v>
      </c>
      <c r="AC8" s="114">
        <v>74.37</v>
      </c>
      <c r="AD8" s="114">
        <v>74.37</v>
      </c>
      <c r="AE8" s="114">
        <v>74.37</v>
      </c>
      <c r="AF8" s="114">
        <v>74.37</v>
      </c>
      <c r="AG8" s="114">
        <v>74.37</v>
      </c>
      <c r="AH8" s="114">
        <v>74.37</v>
      </c>
      <c r="AI8" s="114">
        <v>74.37</v>
      </c>
      <c r="AJ8" s="114">
        <v>74.37</v>
      </c>
      <c r="AK8" s="114">
        <v>74.37</v>
      </c>
      <c r="AL8" s="114">
        <v>74.37</v>
      </c>
      <c r="AM8" s="114">
        <v>74.37</v>
      </c>
      <c r="AN8" s="115">
        <v>74.37</v>
      </c>
    </row>
    <row r="9" spans="1:40">
      <c r="A9" s="29"/>
      <c r="B9" s="113" t="s">
        <v>178</v>
      </c>
      <c r="C9" s="29" t="s">
        <v>171</v>
      </c>
      <c r="D9" s="29" t="s">
        <v>138</v>
      </c>
      <c r="E9" s="29" t="s">
        <v>173</v>
      </c>
      <c r="F9" s="114">
        <v>20.25</v>
      </c>
      <c r="G9" s="114">
        <v>14.53</v>
      </c>
      <c r="H9" s="114">
        <v>14.53</v>
      </c>
      <c r="I9" s="114">
        <v>14.53</v>
      </c>
      <c r="J9" s="114">
        <v>14.53</v>
      </c>
      <c r="K9" s="114">
        <v>14.53</v>
      </c>
      <c r="L9" s="114">
        <v>14.53</v>
      </c>
      <c r="M9" s="114">
        <v>14.53</v>
      </c>
      <c r="N9" s="114">
        <v>14.53</v>
      </c>
      <c r="O9" s="114">
        <v>14.53</v>
      </c>
      <c r="P9" s="114">
        <v>14.53</v>
      </c>
      <c r="Q9" s="114">
        <v>14.53</v>
      </c>
      <c r="R9" s="114">
        <v>14.53</v>
      </c>
      <c r="S9" s="114">
        <v>14.53</v>
      </c>
      <c r="T9" s="114">
        <v>14.53</v>
      </c>
      <c r="U9" s="114">
        <v>14.53</v>
      </c>
      <c r="V9" s="114">
        <v>14.53</v>
      </c>
      <c r="W9" s="114">
        <v>14.53</v>
      </c>
      <c r="X9" s="114">
        <v>14.53</v>
      </c>
      <c r="Y9" s="114">
        <v>14.53</v>
      </c>
      <c r="Z9" s="114">
        <v>14.53</v>
      </c>
      <c r="AA9" s="114">
        <v>14.53</v>
      </c>
      <c r="AB9" s="114">
        <v>14.53</v>
      </c>
      <c r="AC9" s="114">
        <v>14.53</v>
      </c>
      <c r="AD9" s="114">
        <v>14.53</v>
      </c>
      <c r="AE9" s="114">
        <v>14.53</v>
      </c>
      <c r="AF9" s="114">
        <v>14.53</v>
      </c>
      <c r="AG9" s="114">
        <v>14.53</v>
      </c>
      <c r="AH9" s="114">
        <v>14.53</v>
      </c>
      <c r="AI9" s="114">
        <v>14.53</v>
      </c>
      <c r="AJ9" s="114">
        <v>14.53</v>
      </c>
      <c r="AK9" s="114">
        <v>14.53</v>
      </c>
      <c r="AL9" s="114">
        <v>14.53</v>
      </c>
      <c r="AM9" s="114">
        <v>14.53</v>
      </c>
      <c r="AN9" s="115">
        <v>14.53</v>
      </c>
    </row>
    <row r="10" spans="1:40">
      <c r="A10" s="29"/>
      <c r="B10" s="118" t="s">
        <v>179</v>
      </c>
      <c r="C10" s="119" t="s">
        <v>175</v>
      </c>
      <c r="D10" s="119" t="s">
        <v>138</v>
      </c>
      <c r="E10" s="119" t="s">
        <v>169</v>
      </c>
      <c r="F10" s="143">
        <v>31.34</v>
      </c>
      <c r="G10" s="143">
        <v>28.33</v>
      </c>
      <c r="H10" s="143">
        <v>27.31</v>
      </c>
      <c r="I10" s="143">
        <v>27.31</v>
      </c>
      <c r="J10" s="143">
        <v>27.31</v>
      </c>
      <c r="K10" s="143">
        <v>27.31</v>
      </c>
      <c r="L10" s="143">
        <v>27.31</v>
      </c>
      <c r="M10" s="143">
        <v>27.31</v>
      </c>
      <c r="N10" s="143">
        <v>27.31</v>
      </c>
      <c r="O10" s="143">
        <v>27.31</v>
      </c>
      <c r="P10" s="143">
        <v>27.31</v>
      </c>
      <c r="Q10" s="143">
        <v>27.31</v>
      </c>
      <c r="R10" s="143">
        <v>27.31</v>
      </c>
      <c r="S10" s="143">
        <v>27.31</v>
      </c>
      <c r="T10" s="143">
        <v>27.31</v>
      </c>
      <c r="U10" s="143">
        <v>27.31</v>
      </c>
      <c r="V10" s="143">
        <v>27.31</v>
      </c>
      <c r="W10" s="143">
        <v>27.31</v>
      </c>
      <c r="X10" s="143">
        <v>27.31</v>
      </c>
      <c r="Y10" s="143">
        <v>27.31</v>
      </c>
      <c r="Z10" s="143">
        <v>27.31</v>
      </c>
      <c r="AA10" s="143">
        <v>27.31</v>
      </c>
      <c r="AB10" s="143">
        <v>27.31</v>
      </c>
      <c r="AC10" s="143">
        <v>27.31</v>
      </c>
      <c r="AD10" s="143">
        <v>27.31</v>
      </c>
      <c r="AE10" s="143">
        <v>27.31</v>
      </c>
      <c r="AF10" s="143">
        <v>27.31</v>
      </c>
      <c r="AG10" s="143">
        <v>27.31</v>
      </c>
      <c r="AH10" s="143">
        <v>27.31</v>
      </c>
      <c r="AI10" s="143">
        <v>27.31</v>
      </c>
      <c r="AJ10" s="143">
        <v>27.31</v>
      </c>
      <c r="AK10" s="143">
        <v>27.31</v>
      </c>
      <c r="AL10" s="143">
        <v>27.31</v>
      </c>
      <c r="AM10" s="143">
        <v>27.31</v>
      </c>
      <c r="AN10" s="144">
        <v>27.31</v>
      </c>
    </row>
    <row r="11" spans="1:40">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row>
    <row r="16" spans="1:40">
      <c r="F16" s="116"/>
    </row>
    <row r="17" spans="6:6">
      <c r="F17" s="116"/>
    </row>
    <row r="18" spans="6:6">
      <c r="F18" s="116"/>
    </row>
    <row r="19" spans="6:6">
      <c r="F19" s="116"/>
    </row>
    <row r="20" spans="6:6">
      <c r="F20" s="116"/>
    </row>
    <row r="21" spans="6:6">
      <c r="F21" s="116"/>
    </row>
    <row r="22" spans="6:6">
      <c r="F22" s="116"/>
    </row>
    <row r="23" spans="6:6">
      <c r="F23" s="116"/>
    </row>
    <row r="24" spans="6:6">
      <c r="F24" s="116"/>
    </row>
    <row r="25" spans="6:6">
      <c r="F25" s="116"/>
    </row>
    <row r="26" spans="6:6">
      <c r="F26" s="116"/>
    </row>
    <row r="27" spans="6:6">
      <c r="F27" s="116"/>
    </row>
    <row r="28" spans="6:6">
      <c r="F28" s="116"/>
    </row>
    <row r="29" spans="6:6">
      <c r="F29" s="116"/>
    </row>
    <row r="30" spans="6:6">
      <c r="F30" s="116"/>
    </row>
    <row r="31" spans="6:6">
      <c r="F31" s="116"/>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0"/>
  <sheetViews>
    <sheetView showGridLines="0" zoomScaleNormal="100" workbookViewId="0">
      <selection activeCell="F5" sqref="F5"/>
    </sheetView>
  </sheetViews>
  <sheetFormatPr defaultColWidth="9.28515625" defaultRowHeight="12.95"/>
  <cols>
    <col min="1" max="1" width="9.28515625" style="28"/>
    <col min="2" max="2" width="20.28515625" style="28" customWidth="1"/>
    <col min="3" max="3" width="14.42578125" style="28" customWidth="1"/>
    <col min="4" max="4" width="11.7109375" style="28" customWidth="1"/>
    <col min="5" max="5" width="17" style="28" customWidth="1"/>
    <col min="6" max="6" width="22.28515625" style="28" customWidth="1"/>
    <col min="7" max="17" width="8.7109375" style="28" customWidth="1"/>
    <col min="18" max="16384" width="9.28515625" style="28"/>
  </cols>
  <sheetData>
    <row r="1" spans="1:10">
      <c r="A1" s="29"/>
      <c r="B1" s="29"/>
      <c r="C1" s="29"/>
      <c r="D1" s="29"/>
      <c r="E1" s="29"/>
      <c r="F1" s="29"/>
      <c r="G1" s="29"/>
      <c r="H1" s="29"/>
      <c r="I1" s="29"/>
      <c r="J1" s="29"/>
    </row>
    <row r="2" spans="1:10">
      <c r="A2" s="29"/>
      <c r="B2" s="6" t="s">
        <v>180</v>
      </c>
      <c r="C2" s="29"/>
      <c r="D2" s="29"/>
      <c r="E2" s="29"/>
      <c r="F2" s="29"/>
      <c r="G2" s="29"/>
      <c r="H2" s="29"/>
      <c r="I2" s="29"/>
      <c r="J2" s="29"/>
    </row>
    <row r="3" spans="1:10">
      <c r="A3" s="29"/>
      <c r="B3" s="29"/>
      <c r="C3" s="29"/>
      <c r="D3" s="29"/>
      <c r="E3" s="29"/>
      <c r="F3" s="29"/>
      <c r="G3" s="29"/>
      <c r="H3" s="29"/>
      <c r="I3" s="29"/>
      <c r="J3" s="29"/>
    </row>
    <row r="4" spans="1:10">
      <c r="A4" s="29"/>
      <c r="B4" s="109"/>
      <c r="C4" s="145" t="s">
        <v>3</v>
      </c>
      <c r="D4" s="145" t="s">
        <v>155</v>
      </c>
      <c r="E4" s="145" t="s">
        <v>158</v>
      </c>
      <c r="F4" s="146" t="s">
        <v>159</v>
      </c>
      <c r="G4" s="29"/>
      <c r="H4" s="29"/>
      <c r="I4" s="29"/>
      <c r="J4" s="29"/>
    </row>
    <row r="5" spans="1:10">
      <c r="A5" s="29"/>
      <c r="B5" s="147" t="s">
        <v>181</v>
      </c>
      <c r="C5" s="148" t="s">
        <v>182</v>
      </c>
      <c r="D5" s="148">
        <v>16</v>
      </c>
      <c r="E5" s="148">
        <v>19</v>
      </c>
      <c r="F5" s="149">
        <v>8</v>
      </c>
      <c r="G5" s="29"/>
      <c r="H5" s="29"/>
      <c r="I5" s="29"/>
      <c r="J5" s="29"/>
    </row>
    <row r="6" spans="1:10">
      <c r="A6" s="29"/>
      <c r="B6" s="150"/>
      <c r="C6" s="150"/>
      <c r="D6" s="29"/>
      <c r="E6" s="29"/>
      <c r="F6" s="29"/>
      <c r="G6" s="29"/>
      <c r="H6" s="29"/>
      <c r="I6" s="29"/>
      <c r="J6" s="29"/>
    </row>
    <row r="7" spans="1:10">
      <c r="A7" s="29"/>
      <c r="B7" s="151"/>
      <c r="C7" s="151"/>
      <c r="D7" s="29"/>
      <c r="E7" s="29"/>
      <c r="F7" s="29"/>
      <c r="G7" s="29"/>
      <c r="H7" s="29"/>
      <c r="I7" s="29"/>
      <c r="J7" s="29"/>
    </row>
    <row r="8" spans="1:10">
      <c r="A8" s="29"/>
      <c r="B8" s="151"/>
      <c r="C8" s="151"/>
      <c r="D8" s="29"/>
      <c r="E8" s="29"/>
      <c r="F8" s="29"/>
      <c r="G8" s="29"/>
      <c r="H8" s="29"/>
      <c r="I8" s="29"/>
      <c r="J8" s="29"/>
    </row>
    <row r="9" spans="1:10">
      <c r="A9" s="29"/>
      <c r="B9" s="151"/>
      <c r="C9" s="151"/>
      <c r="D9" s="29"/>
      <c r="E9" s="29"/>
      <c r="F9" s="29"/>
      <c r="G9" s="29"/>
      <c r="H9" s="29"/>
      <c r="I9" s="29"/>
      <c r="J9" s="29"/>
    </row>
    <row r="10" spans="1:10">
      <c r="A10" s="29"/>
      <c r="B10" s="151"/>
      <c r="C10" s="151"/>
      <c r="D10" s="152"/>
      <c r="E10" s="152"/>
      <c r="F10" s="29"/>
      <c r="G10" s="29"/>
      <c r="H10" s="29"/>
      <c r="I10" s="29"/>
      <c r="J10" s="29"/>
    </row>
    <row r="11" spans="1:10">
      <c r="A11" s="29"/>
      <c r="B11" s="151"/>
      <c r="C11" s="151"/>
      <c r="D11" s="152"/>
      <c r="E11" s="152"/>
      <c r="F11" s="29"/>
      <c r="G11" s="29"/>
      <c r="H11" s="29"/>
      <c r="I11" s="29"/>
      <c r="J11" s="29"/>
    </row>
    <row r="12" spans="1:10">
      <c r="A12" s="29"/>
      <c r="B12" s="153"/>
      <c r="C12" s="153"/>
      <c r="D12" s="154"/>
      <c r="E12" s="154"/>
      <c r="F12" s="29"/>
      <c r="G12" s="29"/>
      <c r="H12" s="29"/>
      <c r="I12" s="29"/>
      <c r="J12" s="29"/>
    </row>
    <row r="13" spans="1:10">
      <c r="A13" s="29"/>
      <c r="B13" s="151"/>
      <c r="C13" s="151"/>
      <c r="D13" s="29"/>
      <c r="E13" s="29"/>
      <c r="F13" s="29"/>
      <c r="G13" s="29"/>
      <c r="H13" s="29"/>
      <c r="I13" s="29"/>
      <c r="J13" s="29"/>
    </row>
    <row r="14" spans="1:10">
      <c r="A14" s="29"/>
      <c r="B14" s="151"/>
      <c r="C14" s="151"/>
      <c r="D14" s="29"/>
      <c r="E14" s="29"/>
      <c r="F14" s="29"/>
      <c r="G14" s="29"/>
      <c r="H14" s="29"/>
      <c r="I14" s="29"/>
      <c r="J14" s="29"/>
    </row>
    <row r="15" spans="1:10">
      <c r="A15" s="29"/>
      <c r="B15" s="29"/>
      <c r="C15" s="29"/>
      <c r="D15" s="29"/>
      <c r="E15" s="29"/>
      <c r="F15" s="29"/>
      <c r="G15" s="29"/>
      <c r="H15" s="29"/>
      <c r="I15" s="29"/>
      <c r="J15" s="29"/>
    </row>
    <row r="16" spans="1:10">
      <c r="A16" s="29"/>
      <c r="B16" s="155"/>
      <c r="C16" s="150"/>
      <c r="D16" s="29"/>
      <c r="E16" s="29"/>
      <c r="F16" s="29"/>
      <c r="G16" s="29"/>
      <c r="H16" s="29"/>
      <c r="I16" s="29"/>
      <c r="J16" s="29"/>
    </row>
    <row r="17" spans="1:10">
      <c r="A17" s="29"/>
      <c r="B17" s="29"/>
      <c r="C17" s="29"/>
      <c r="D17" s="29"/>
      <c r="E17" s="29"/>
      <c r="F17" s="29"/>
      <c r="G17" s="29"/>
      <c r="H17" s="29"/>
      <c r="I17" s="29"/>
      <c r="J17" s="29"/>
    </row>
    <row r="18" spans="1:10">
      <c r="A18" s="29"/>
      <c r="B18" s="29"/>
      <c r="C18" s="29"/>
      <c r="D18" s="29"/>
      <c r="E18" s="29"/>
      <c r="F18" s="29"/>
      <c r="G18" s="29"/>
      <c r="H18" s="29"/>
      <c r="I18" s="29"/>
      <c r="J18" s="29"/>
    </row>
    <row r="19" spans="1:10">
      <c r="A19" s="29"/>
      <c r="B19" s="29"/>
      <c r="C19" s="29"/>
      <c r="D19" s="29"/>
      <c r="E19" s="29"/>
      <c r="F19" s="29"/>
      <c r="G19" s="29"/>
      <c r="H19" s="29"/>
      <c r="I19" s="29"/>
      <c r="J19" s="29"/>
    </row>
    <row r="20" spans="1:10">
      <c r="A20" s="29"/>
      <c r="B20" s="29"/>
      <c r="C20" s="29"/>
      <c r="D20" s="29"/>
      <c r="E20" s="29"/>
      <c r="F20" s="29"/>
      <c r="G20" s="29"/>
      <c r="H20" s="29"/>
      <c r="I20" s="29"/>
      <c r="J20" s="29"/>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8"/>
  <sheetViews>
    <sheetView showGridLines="0" zoomScaleNormal="100" workbookViewId="0">
      <selection activeCell="B5" sqref="B5"/>
    </sheetView>
  </sheetViews>
  <sheetFormatPr defaultColWidth="8.7109375" defaultRowHeight="12.95"/>
  <cols>
    <col min="1" max="1" width="15.28515625" style="28" customWidth="1"/>
    <col min="2" max="2" width="12" style="28" customWidth="1"/>
    <col min="3" max="3" width="44.28515625" style="28" customWidth="1"/>
    <col min="4" max="16384" width="8.7109375" style="28"/>
  </cols>
  <sheetData>
    <row r="1" spans="1:4" ht="14.25" customHeight="1">
      <c r="B1" s="29"/>
      <c r="C1" s="29"/>
      <c r="D1" s="29"/>
    </row>
    <row r="2" spans="1:4">
      <c r="A2" s="29"/>
      <c r="B2" s="6" t="s">
        <v>183</v>
      </c>
      <c r="C2" s="29"/>
      <c r="D2" s="29"/>
    </row>
    <row r="3" spans="1:4">
      <c r="A3" s="29"/>
      <c r="B3" s="29"/>
      <c r="C3" s="29"/>
      <c r="D3" s="29"/>
    </row>
    <row r="4" spans="1:4">
      <c r="A4" s="29"/>
      <c r="B4" s="109" t="s">
        <v>184</v>
      </c>
      <c r="C4" s="111" t="s">
        <v>185</v>
      </c>
      <c r="D4" s="29"/>
    </row>
    <row r="5" spans="1:4">
      <c r="A5" s="29"/>
      <c r="B5" s="113" t="s">
        <v>186</v>
      </c>
      <c r="C5" s="117" t="s">
        <v>187</v>
      </c>
      <c r="D5" s="29"/>
    </row>
    <row r="6" spans="1:4">
      <c r="A6" s="29"/>
      <c r="B6" s="113" t="s">
        <v>188</v>
      </c>
      <c r="C6" s="117" t="s">
        <v>189</v>
      </c>
      <c r="D6" s="29"/>
    </row>
    <row r="7" spans="1:4">
      <c r="A7" s="29"/>
      <c r="B7" s="113" t="s">
        <v>190</v>
      </c>
      <c r="C7" s="117" t="s">
        <v>191</v>
      </c>
      <c r="D7" s="29"/>
    </row>
    <row r="8" spans="1:4">
      <c r="A8" s="29"/>
      <c r="B8" s="113" t="s">
        <v>192</v>
      </c>
      <c r="C8" s="117" t="s">
        <v>193</v>
      </c>
      <c r="D8" s="29"/>
    </row>
    <row r="9" spans="1:4">
      <c r="A9" s="29"/>
      <c r="B9" s="113" t="s">
        <v>194</v>
      </c>
      <c r="C9" s="117" t="s">
        <v>195</v>
      </c>
      <c r="D9" s="29"/>
    </row>
    <row r="10" spans="1:4">
      <c r="A10" s="29"/>
      <c r="B10" s="113" t="s">
        <v>143</v>
      </c>
      <c r="C10" s="117" t="s">
        <v>196</v>
      </c>
      <c r="D10" s="29"/>
    </row>
    <row r="11" spans="1:4">
      <c r="A11" s="29"/>
      <c r="B11" s="113" t="s">
        <v>197</v>
      </c>
      <c r="C11" s="117" t="s">
        <v>198</v>
      </c>
      <c r="D11" s="29"/>
    </row>
    <row r="12" spans="1:4">
      <c r="A12" s="29"/>
      <c r="B12" s="113" t="s">
        <v>147</v>
      </c>
      <c r="C12" s="117" t="s">
        <v>199</v>
      </c>
      <c r="D12" s="29"/>
    </row>
    <row r="13" spans="1:4">
      <c r="A13" s="29"/>
      <c r="B13" s="113" t="s">
        <v>22</v>
      </c>
      <c r="C13" s="117" t="s">
        <v>200</v>
      </c>
      <c r="D13" s="29"/>
    </row>
    <row r="14" spans="1:4">
      <c r="A14" s="29"/>
      <c r="B14" s="113" t="s">
        <v>201</v>
      </c>
      <c r="C14" s="117" t="s">
        <v>202</v>
      </c>
      <c r="D14" s="29"/>
    </row>
    <row r="15" spans="1:4">
      <c r="A15" s="29"/>
      <c r="B15" s="113" t="s">
        <v>203</v>
      </c>
      <c r="C15" s="117" t="s">
        <v>204</v>
      </c>
      <c r="D15" s="29"/>
    </row>
    <row r="16" spans="1:4">
      <c r="A16" s="29"/>
      <c r="B16" s="113" t="s">
        <v>205</v>
      </c>
      <c r="C16" s="117" t="s">
        <v>206</v>
      </c>
      <c r="D16" s="29"/>
    </row>
    <row r="17" spans="1:4">
      <c r="A17" s="29"/>
      <c r="B17" s="118" t="s">
        <v>207</v>
      </c>
      <c r="C17" s="120" t="s">
        <v>208</v>
      </c>
      <c r="D17" s="29"/>
    </row>
    <row r="18" spans="1:4">
      <c r="A18" s="29"/>
      <c r="B18" s="29"/>
      <c r="C18" s="29"/>
      <c r="D18" s="29"/>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2:D13"/>
  <sheetViews>
    <sheetView showGridLines="0" zoomScale="160" zoomScaleNormal="160" workbookViewId="0">
      <selection activeCell="D6" sqref="D6"/>
    </sheetView>
  </sheetViews>
  <sheetFormatPr defaultColWidth="8.85546875" defaultRowHeight="12.95"/>
  <cols>
    <col min="1" max="2" width="8.85546875" style="28"/>
    <col min="3" max="3" width="88.7109375" style="28" customWidth="1"/>
    <col min="4" max="4" width="10.42578125" style="28" customWidth="1"/>
    <col min="5" max="16384" width="8.85546875" style="28"/>
  </cols>
  <sheetData>
    <row r="2" spans="3:4">
      <c r="C2" s="6" t="s">
        <v>209</v>
      </c>
    </row>
    <row r="4" spans="3:4">
      <c r="C4" s="101" t="s">
        <v>210</v>
      </c>
      <c r="D4" s="102"/>
    </row>
    <row r="5" spans="3:4">
      <c r="C5" s="156" t="s">
        <v>211</v>
      </c>
      <c r="D5" s="157">
        <v>0.03</v>
      </c>
    </row>
    <row r="6" spans="3:4">
      <c r="C6" s="158" t="s">
        <v>212</v>
      </c>
      <c r="D6" s="159">
        <v>0.03</v>
      </c>
    </row>
    <row r="7" spans="3:4">
      <c r="C7" s="158" t="s">
        <v>213</v>
      </c>
      <c r="D7" s="159">
        <v>0.05</v>
      </c>
    </row>
    <row r="8" spans="3:4">
      <c r="C8" s="158" t="s">
        <v>214</v>
      </c>
      <c r="D8" s="160">
        <v>1600</v>
      </c>
    </row>
    <row r="9" spans="3:4">
      <c r="C9" s="161" t="s">
        <v>215</v>
      </c>
      <c r="D9" s="162" t="s">
        <v>216</v>
      </c>
    </row>
    <row r="11" spans="3:4">
      <c r="C11" s="99" t="s">
        <v>29</v>
      </c>
    </row>
    <row r="12" spans="3:4">
      <c r="C12" s="129" t="s">
        <v>217</v>
      </c>
    </row>
    <row r="13" spans="3:4">
      <c r="C13" s="129"/>
    </row>
  </sheetData>
  <pageMargins left="0.7" right="0.7" top="0.75" bottom="0.75" header="0.511811023622047" footer="0.511811023622047"/>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AN64"/>
  <sheetViews>
    <sheetView topLeftCell="A2" zoomScaleNormal="100" workbookViewId="0">
      <selection activeCell="C11" sqref="C11"/>
    </sheetView>
  </sheetViews>
  <sheetFormatPr defaultColWidth="0" defaultRowHeight="15" zeroHeight="1"/>
  <cols>
    <col min="1" max="1" width="8.7109375" customWidth="1"/>
    <col min="2" max="2" width="60.42578125" customWidth="1"/>
    <col min="3" max="3" width="28.28515625" customWidth="1"/>
    <col min="4" max="4" width="10.28515625" customWidth="1"/>
    <col min="5" max="5" width="7.42578125" customWidth="1"/>
    <col min="6" max="6" width="11.28515625" customWidth="1"/>
    <col min="7" max="34" width="7.42578125" customWidth="1"/>
    <col min="35" max="40" width="8.7109375" customWidth="1"/>
    <col min="41" max="16384" width="8.7109375" hidden="1"/>
  </cols>
  <sheetData>
    <row r="2" spans="2:34">
      <c r="B2" s="101" t="s">
        <v>218</v>
      </c>
    </row>
    <row r="3" spans="2:34">
      <c r="B3" s="28"/>
      <c r="D3" s="163"/>
      <c r="E3" s="28"/>
      <c r="F3" s="28"/>
    </row>
    <row r="4" spans="2:34">
      <c r="B4" s="164" t="s">
        <v>211</v>
      </c>
      <c r="C4" s="165"/>
      <c r="D4" s="163"/>
      <c r="E4" s="28"/>
      <c r="F4" s="28"/>
    </row>
    <row r="5" spans="2:34">
      <c r="B5" s="164" t="s">
        <v>212</v>
      </c>
      <c r="C5" s="165"/>
      <c r="D5" s="163"/>
      <c r="E5" s="28"/>
      <c r="F5" s="28"/>
    </row>
    <row r="6" spans="2:34">
      <c r="B6" s="164" t="s">
        <v>213</v>
      </c>
      <c r="C6" s="165"/>
      <c r="D6" s="163"/>
      <c r="F6" s="28"/>
    </row>
    <row r="7" spans="2:34">
      <c r="B7" s="164" t="s">
        <v>214</v>
      </c>
      <c r="C7" s="166"/>
      <c r="D7" s="167"/>
      <c r="F7" s="28"/>
    </row>
    <row r="8" spans="2:34">
      <c r="B8" s="164" t="s">
        <v>219</v>
      </c>
      <c r="C8" s="166"/>
      <c r="D8" s="168"/>
    </row>
    <row r="9" spans="2:34">
      <c r="B9" s="164" t="s">
        <v>220</v>
      </c>
      <c r="C9" s="166"/>
    </row>
    <row r="10" spans="2:34">
      <c r="B10" s="164" t="s">
        <v>221</v>
      </c>
      <c r="C10" s="169"/>
    </row>
    <row r="11" spans="2:34">
      <c r="B11" s="164" t="s">
        <v>222</v>
      </c>
      <c r="C11" s="170"/>
    </row>
    <row r="12" spans="2:34">
      <c r="B12" s="171"/>
      <c r="D12" s="140"/>
      <c r="E12" s="140"/>
      <c r="F12" s="140"/>
      <c r="G12" s="140"/>
      <c r="H12" s="140"/>
      <c r="I12" s="140"/>
      <c r="J12" s="140"/>
      <c r="K12" s="140"/>
      <c r="L12" s="140"/>
      <c r="M12" s="140"/>
      <c r="N12" s="140"/>
      <c r="O12" s="140"/>
      <c r="P12" s="140"/>
      <c r="Q12" s="140"/>
      <c r="R12" s="140"/>
      <c r="S12" s="140"/>
      <c r="T12" s="140"/>
      <c r="U12" s="140"/>
      <c r="V12" s="140"/>
      <c r="W12" s="140"/>
      <c r="X12" s="140"/>
      <c r="Y12" s="140"/>
      <c r="Z12" s="140"/>
      <c r="AA12" s="140"/>
      <c r="AB12" s="140"/>
      <c r="AC12" s="140"/>
      <c r="AD12" s="140"/>
      <c r="AE12" s="140"/>
      <c r="AF12" s="140"/>
      <c r="AH12" s="140"/>
    </row>
    <row r="13" spans="2:34">
      <c r="B13" s="171"/>
      <c r="C13" s="172"/>
      <c r="D13" s="172"/>
      <c r="E13" s="172"/>
      <c r="F13" s="172"/>
      <c r="G13" s="172"/>
      <c r="H13" s="172"/>
      <c r="I13" s="172"/>
      <c r="J13" s="172"/>
      <c r="K13" s="172"/>
      <c r="L13" s="172"/>
      <c r="M13" s="172"/>
      <c r="N13" s="172"/>
      <c r="O13" s="172"/>
      <c r="P13" s="172"/>
      <c r="Q13" s="172"/>
      <c r="R13" s="172"/>
      <c r="S13" s="172"/>
      <c r="T13" s="172"/>
      <c r="U13" s="172"/>
      <c r="V13" s="172"/>
      <c r="W13" s="172"/>
      <c r="X13" s="172"/>
      <c r="Y13" s="172"/>
      <c r="Z13" s="172"/>
      <c r="AA13" s="172"/>
      <c r="AB13" s="172"/>
      <c r="AC13" s="172"/>
      <c r="AD13" s="172"/>
      <c r="AE13" s="172"/>
      <c r="AF13" s="172"/>
    </row>
    <row r="14" spans="2:34" ht="15" customHeight="1">
      <c r="B14" s="173" t="s">
        <v>27</v>
      </c>
      <c r="C14" s="172"/>
      <c r="D14" s="172"/>
      <c r="E14" s="172"/>
      <c r="F14" s="172"/>
      <c r="G14" s="172"/>
      <c r="H14" s="172"/>
      <c r="I14" s="172"/>
      <c r="J14" s="172"/>
      <c r="K14" s="172"/>
      <c r="L14" s="172"/>
      <c r="M14" s="172"/>
      <c r="N14" s="172"/>
      <c r="O14" s="172"/>
      <c r="P14" s="172"/>
      <c r="Q14" s="172"/>
      <c r="R14" s="172"/>
      <c r="S14" s="172"/>
      <c r="T14" s="172"/>
      <c r="U14" s="172"/>
      <c r="V14" s="172"/>
      <c r="W14" s="172"/>
      <c r="X14" s="172"/>
      <c r="Y14" s="172"/>
      <c r="Z14" s="172"/>
      <c r="AA14" s="172"/>
      <c r="AB14" s="172"/>
      <c r="AC14" s="172"/>
      <c r="AD14" s="172"/>
      <c r="AE14" s="172"/>
      <c r="AF14" s="172"/>
    </row>
    <row r="15" spans="2:34">
      <c r="B15" s="174" t="s">
        <v>223</v>
      </c>
      <c r="C15" s="175">
        <v>2027</v>
      </c>
      <c r="D15" s="175">
        <v>2028</v>
      </c>
      <c r="E15" s="175">
        <v>2029</v>
      </c>
      <c r="F15" s="175">
        <v>2030</v>
      </c>
      <c r="G15" s="175">
        <v>2031</v>
      </c>
      <c r="H15" s="175">
        <v>2032</v>
      </c>
      <c r="I15" s="175">
        <v>2033</v>
      </c>
      <c r="J15" s="175">
        <v>2034</v>
      </c>
      <c r="K15" s="175">
        <v>2035</v>
      </c>
      <c r="L15" s="175">
        <v>2036</v>
      </c>
      <c r="M15" s="175">
        <v>2037</v>
      </c>
      <c r="N15" s="175">
        <v>2038</v>
      </c>
      <c r="O15" s="175">
        <v>2039</v>
      </c>
      <c r="P15" s="175">
        <v>2040</v>
      </c>
      <c r="Q15" s="175">
        <v>2041</v>
      </c>
      <c r="R15" s="175">
        <v>2042</v>
      </c>
      <c r="S15" s="175">
        <v>2043</v>
      </c>
      <c r="T15" s="175">
        <v>2044</v>
      </c>
      <c r="U15" s="175">
        <v>2045</v>
      </c>
      <c r="V15" s="175">
        <v>2046</v>
      </c>
      <c r="W15" s="175">
        <v>2047</v>
      </c>
      <c r="X15" s="175">
        <v>2048</v>
      </c>
      <c r="Y15" s="175">
        <v>2049</v>
      </c>
      <c r="Z15" s="175">
        <v>2050</v>
      </c>
      <c r="AA15" s="175">
        <v>2051</v>
      </c>
      <c r="AB15" s="175">
        <v>2052</v>
      </c>
      <c r="AC15" s="175">
        <v>2053</v>
      </c>
      <c r="AD15" s="175">
        <v>2054</v>
      </c>
      <c r="AE15" s="175">
        <v>2055</v>
      </c>
      <c r="AF15" s="175">
        <v>2056</v>
      </c>
    </row>
    <row r="16" spans="2:34">
      <c r="B16" s="164" t="s">
        <v>224</v>
      </c>
      <c r="C16" s="176"/>
      <c r="D16" s="176"/>
      <c r="E16" s="176"/>
      <c r="F16" s="176"/>
      <c r="G16" s="176"/>
      <c r="H16" s="176"/>
      <c r="I16" s="176"/>
      <c r="J16" s="176"/>
      <c r="K16" s="176"/>
      <c r="L16" s="176"/>
      <c r="M16" s="176"/>
      <c r="N16" s="176"/>
      <c r="O16" s="176"/>
      <c r="P16" s="176"/>
      <c r="Q16" s="176"/>
      <c r="R16" s="176"/>
      <c r="S16" s="176"/>
      <c r="T16" s="176"/>
      <c r="U16" s="176"/>
      <c r="V16" s="176"/>
      <c r="W16" s="176"/>
      <c r="X16" s="176"/>
      <c r="Y16" s="176"/>
      <c r="Z16" s="176"/>
      <c r="AA16" s="176"/>
      <c r="AB16" s="176"/>
      <c r="AC16" s="176"/>
      <c r="AD16" s="176"/>
      <c r="AE16" s="176"/>
      <c r="AF16" s="176"/>
    </row>
    <row r="17" spans="2:34">
      <c r="B17" s="177" t="s">
        <v>225</v>
      </c>
      <c r="C17" s="176"/>
      <c r="D17" s="176"/>
      <c r="E17" s="176"/>
      <c r="F17" s="176"/>
      <c r="G17" s="176"/>
      <c r="H17" s="176"/>
      <c r="I17" s="176"/>
      <c r="J17" s="176"/>
      <c r="K17" s="176"/>
      <c r="L17" s="176"/>
      <c r="M17" s="176"/>
      <c r="N17" s="176"/>
      <c r="O17" s="176"/>
      <c r="P17" s="176"/>
      <c r="Q17" s="176"/>
      <c r="R17" s="176"/>
      <c r="S17" s="176"/>
      <c r="T17" s="176"/>
      <c r="U17" s="176"/>
      <c r="V17" s="176"/>
      <c r="W17" s="176"/>
      <c r="X17" s="176"/>
      <c r="Y17" s="176"/>
      <c r="Z17" s="176"/>
      <c r="AA17" s="176"/>
      <c r="AB17" s="176"/>
      <c r="AC17" s="176"/>
      <c r="AD17" s="176"/>
      <c r="AE17" s="176"/>
      <c r="AF17" s="176"/>
    </row>
    <row r="18" spans="2:34">
      <c r="B18" s="174" t="s">
        <v>226</v>
      </c>
      <c r="C18" s="176"/>
      <c r="D18" s="176"/>
      <c r="E18" s="176"/>
      <c r="F18" s="176"/>
      <c r="G18" s="176"/>
      <c r="H18" s="176"/>
      <c r="I18" s="176"/>
      <c r="J18" s="176"/>
      <c r="K18" s="176"/>
      <c r="L18" s="176"/>
      <c r="M18" s="176"/>
      <c r="N18" s="176"/>
      <c r="O18" s="176"/>
      <c r="P18" s="176"/>
      <c r="Q18" s="176"/>
      <c r="R18" s="176"/>
      <c r="S18" s="176"/>
      <c r="T18" s="176"/>
      <c r="U18" s="176"/>
      <c r="V18" s="176"/>
      <c r="W18" s="176"/>
      <c r="X18" s="176"/>
      <c r="Y18" s="176"/>
      <c r="Z18" s="176"/>
      <c r="AA18" s="176"/>
      <c r="AB18" s="176"/>
      <c r="AC18" s="176"/>
      <c r="AD18" s="176"/>
      <c r="AE18" s="176"/>
      <c r="AF18" s="176"/>
    </row>
    <row r="19" spans="2:34">
      <c r="C19" s="172"/>
      <c r="D19" s="172"/>
      <c r="E19" s="172"/>
      <c r="F19" s="172"/>
      <c r="G19" s="172"/>
      <c r="H19" s="172"/>
      <c r="I19" s="172"/>
      <c r="J19" s="172"/>
      <c r="K19" s="172"/>
      <c r="L19" s="172"/>
      <c r="M19" s="172"/>
      <c r="N19" s="172"/>
      <c r="O19" s="172"/>
      <c r="P19" s="172"/>
      <c r="Q19" s="172"/>
      <c r="R19" s="172"/>
      <c r="S19" s="172"/>
      <c r="T19" s="172"/>
      <c r="U19" s="172"/>
      <c r="V19" s="172"/>
      <c r="W19" s="172"/>
      <c r="X19" s="172"/>
      <c r="Y19" s="172"/>
      <c r="Z19" s="172"/>
      <c r="AA19" s="172"/>
      <c r="AB19" s="172"/>
      <c r="AC19" s="172"/>
      <c r="AD19" s="172"/>
      <c r="AE19" s="172"/>
      <c r="AF19" s="172"/>
    </row>
    <row r="20" spans="2:34">
      <c r="B20" s="164" t="s">
        <v>227</v>
      </c>
      <c r="C20" s="176"/>
      <c r="D20" s="176"/>
      <c r="E20" s="176"/>
      <c r="F20" s="176"/>
      <c r="G20" s="176"/>
      <c r="H20" s="176"/>
      <c r="I20" s="176"/>
      <c r="J20" s="176"/>
      <c r="K20" s="176"/>
      <c r="L20" s="176"/>
      <c r="M20" s="176"/>
      <c r="N20" s="176"/>
      <c r="O20" s="176"/>
      <c r="P20" s="176"/>
      <c r="Q20" s="176"/>
      <c r="R20" s="176"/>
      <c r="S20" s="176"/>
      <c r="T20" s="176"/>
      <c r="U20" s="176"/>
      <c r="V20" s="176"/>
      <c r="W20" s="176"/>
      <c r="X20" s="176"/>
      <c r="Y20" s="176"/>
      <c r="Z20" s="176"/>
      <c r="AA20" s="176"/>
      <c r="AB20" s="176"/>
      <c r="AC20" s="176"/>
      <c r="AD20" s="176"/>
      <c r="AE20" s="176"/>
      <c r="AF20" s="176"/>
    </row>
    <row r="21" spans="2:34">
      <c r="B21" s="164" t="s">
        <v>228</v>
      </c>
      <c r="C21" s="176"/>
      <c r="D21" s="176"/>
      <c r="E21" s="176"/>
      <c r="F21" s="176"/>
      <c r="G21" s="176"/>
      <c r="H21" s="176"/>
      <c r="I21" s="176"/>
      <c r="J21" s="176"/>
      <c r="K21" s="176"/>
      <c r="L21" s="176"/>
      <c r="M21" s="176"/>
      <c r="N21" s="176"/>
      <c r="O21" s="176"/>
      <c r="P21" s="176"/>
      <c r="Q21" s="176"/>
      <c r="R21" s="176"/>
      <c r="S21" s="176"/>
      <c r="T21" s="176"/>
      <c r="U21" s="176"/>
      <c r="V21" s="176"/>
      <c r="W21" s="176"/>
      <c r="X21" s="176"/>
      <c r="Y21" s="176"/>
      <c r="Z21" s="176"/>
      <c r="AA21" s="176"/>
      <c r="AB21" s="176"/>
      <c r="AC21" s="176"/>
      <c r="AD21" s="176"/>
      <c r="AE21" s="176"/>
      <c r="AF21" s="176"/>
    </row>
    <row r="22" spans="2:34">
      <c r="B22" s="177" t="s">
        <v>229</v>
      </c>
      <c r="C22" s="176"/>
      <c r="D22" s="176"/>
      <c r="E22" s="176"/>
      <c r="F22" s="176"/>
      <c r="G22" s="176"/>
      <c r="H22" s="176"/>
      <c r="I22" s="176"/>
      <c r="J22" s="176"/>
      <c r="K22" s="176"/>
      <c r="L22" s="176"/>
      <c r="M22" s="176"/>
      <c r="N22" s="176"/>
      <c r="O22" s="176"/>
      <c r="P22" s="176"/>
      <c r="Q22" s="176"/>
      <c r="R22" s="176"/>
      <c r="S22" s="176"/>
      <c r="T22" s="176"/>
      <c r="U22" s="176"/>
      <c r="V22" s="176"/>
      <c r="W22" s="176"/>
      <c r="X22" s="176"/>
      <c r="Y22" s="176"/>
      <c r="Z22" s="176"/>
      <c r="AA22" s="176"/>
      <c r="AB22" s="176"/>
      <c r="AC22" s="176"/>
      <c r="AD22" s="176"/>
      <c r="AE22" s="176"/>
      <c r="AF22" s="176"/>
    </row>
    <row r="23" spans="2:34">
      <c r="B23" s="177" t="s">
        <v>230</v>
      </c>
      <c r="C23" s="176"/>
      <c r="D23" s="176"/>
      <c r="E23" s="176"/>
      <c r="F23" s="176"/>
      <c r="G23" s="176"/>
      <c r="H23" s="176"/>
      <c r="I23" s="176"/>
      <c r="J23" s="176"/>
      <c r="K23" s="176"/>
      <c r="L23" s="176"/>
      <c r="M23" s="176"/>
      <c r="N23" s="176"/>
      <c r="O23" s="176"/>
      <c r="P23" s="176"/>
      <c r="Q23" s="176"/>
      <c r="R23" s="176"/>
      <c r="S23" s="176"/>
      <c r="T23" s="176"/>
      <c r="U23" s="176"/>
      <c r="V23" s="176"/>
      <c r="W23" s="176"/>
      <c r="X23" s="176"/>
      <c r="Y23" s="176"/>
      <c r="Z23" s="176"/>
      <c r="AA23" s="176"/>
      <c r="AB23" s="176"/>
      <c r="AC23" s="176"/>
      <c r="AD23" s="176"/>
      <c r="AE23" s="176"/>
      <c r="AF23" s="176"/>
    </row>
    <row r="24" spans="2:34">
      <c r="B24" s="174" t="s">
        <v>231</v>
      </c>
      <c r="C24" s="176"/>
      <c r="D24" s="176"/>
      <c r="E24" s="176"/>
      <c r="F24" s="176"/>
      <c r="G24" s="176"/>
      <c r="H24" s="176"/>
      <c r="I24" s="176"/>
      <c r="J24" s="176"/>
      <c r="K24" s="176"/>
      <c r="L24" s="176"/>
      <c r="M24" s="176"/>
      <c r="N24" s="176"/>
      <c r="O24" s="176"/>
      <c r="P24" s="176"/>
      <c r="Q24" s="176"/>
      <c r="R24" s="176"/>
      <c r="S24" s="176"/>
      <c r="T24" s="176"/>
      <c r="U24" s="176"/>
      <c r="V24" s="176"/>
      <c r="W24" s="176"/>
      <c r="X24" s="176"/>
      <c r="Y24" s="176"/>
      <c r="Z24" s="176"/>
      <c r="AA24" s="176"/>
      <c r="AB24" s="176"/>
      <c r="AC24" s="176"/>
      <c r="AD24" s="176"/>
      <c r="AE24" s="176"/>
      <c r="AF24" s="176"/>
    </row>
    <row r="25" spans="2:34">
      <c r="D25" s="178"/>
      <c r="E25" s="178"/>
      <c r="F25" s="178"/>
      <c r="G25" s="178"/>
      <c r="H25" s="178"/>
      <c r="I25" s="178"/>
      <c r="J25" s="178"/>
      <c r="K25" s="178"/>
      <c r="L25" s="178"/>
      <c r="M25" s="178"/>
      <c r="N25" s="178"/>
      <c r="O25" s="178"/>
      <c r="P25" s="178"/>
      <c r="Q25" s="178"/>
      <c r="R25" s="178"/>
      <c r="S25" s="178"/>
      <c r="T25" s="178"/>
      <c r="U25" s="178"/>
      <c r="V25" s="178"/>
      <c r="W25" s="178"/>
      <c r="X25" s="178"/>
      <c r="Y25" s="178"/>
      <c r="Z25" s="178"/>
      <c r="AA25" s="178"/>
      <c r="AB25" s="178"/>
      <c r="AC25" s="178"/>
      <c r="AD25" s="178"/>
      <c r="AE25" s="178"/>
      <c r="AF25" s="178"/>
    </row>
    <row r="26" spans="2:34">
      <c r="B26" s="174" t="s">
        <v>232</v>
      </c>
      <c r="C26" s="179"/>
      <c r="D26" s="179"/>
      <c r="E26" s="179"/>
      <c r="F26" s="179"/>
      <c r="G26" s="179"/>
      <c r="H26" s="179"/>
      <c r="I26" s="179"/>
      <c r="J26" s="179"/>
      <c r="K26" s="179"/>
      <c r="L26" s="179"/>
      <c r="M26" s="179"/>
      <c r="N26" s="179"/>
      <c r="O26" s="179"/>
      <c r="P26" s="179"/>
      <c r="Q26" s="179"/>
      <c r="R26" s="179"/>
      <c r="S26" s="179"/>
      <c r="T26" s="179"/>
      <c r="U26" s="179"/>
      <c r="V26" s="179"/>
      <c r="W26" s="179"/>
      <c r="X26" s="179"/>
      <c r="Y26" s="179"/>
      <c r="Z26" s="179"/>
      <c r="AA26" s="179"/>
      <c r="AB26" s="179"/>
      <c r="AC26" s="179"/>
      <c r="AD26" s="179"/>
      <c r="AE26" s="179"/>
      <c r="AF26" s="179"/>
      <c r="AH26" s="180"/>
    </row>
    <row r="27" spans="2:34">
      <c r="B27" s="164" t="s">
        <v>233</v>
      </c>
      <c r="C27" s="181"/>
      <c r="D27" s="181"/>
      <c r="E27" s="181"/>
      <c r="F27" s="181"/>
      <c r="G27" s="181"/>
      <c r="H27" s="181"/>
      <c r="I27" s="181"/>
      <c r="J27" s="181"/>
      <c r="K27" s="181"/>
      <c r="L27" s="181"/>
      <c r="M27" s="181"/>
      <c r="N27" s="181"/>
      <c r="O27" s="181"/>
      <c r="P27" s="181"/>
      <c r="Q27" s="181"/>
      <c r="R27" s="181"/>
      <c r="S27" s="181"/>
      <c r="T27" s="181"/>
      <c r="U27" s="181"/>
      <c r="V27" s="181"/>
      <c r="W27" s="181"/>
      <c r="X27" s="181"/>
      <c r="Y27" s="181"/>
      <c r="Z27" s="181"/>
      <c r="AA27" s="181"/>
      <c r="AB27" s="181"/>
      <c r="AC27" s="181"/>
      <c r="AD27" s="181"/>
      <c r="AE27" s="181"/>
      <c r="AF27" s="181"/>
    </row>
    <row r="30" spans="2:34" ht="15" customHeight="1">
      <c r="B30" s="173" t="s">
        <v>25</v>
      </c>
    </row>
    <row r="31" spans="2:34">
      <c r="B31" s="174" t="s">
        <v>223</v>
      </c>
      <c r="C31" s="175">
        <v>2027</v>
      </c>
      <c r="D31" s="175">
        <v>2028</v>
      </c>
      <c r="E31" s="175">
        <v>2029</v>
      </c>
      <c r="F31" s="175">
        <v>2030</v>
      </c>
      <c r="G31" s="175">
        <v>2031</v>
      </c>
      <c r="H31" s="175">
        <v>2032</v>
      </c>
      <c r="I31" s="175">
        <v>2033</v>
      </c>
      <c r="J31" s="175">
        <v>2034</v>
      </c>
      <c r="K31" s="175">
        <v>2035</v>
      </c>
      <c r="L31" s="175">
        <v>2036</v>
      </c>
      <c r="M31" s="175">
        <v>2037</v>
      </c>
      <c r="N31" s="175">
        <v>2038</v>
      </c>
      <c r="O31" s="175">
        <v>2039</v>
      </c>
      <c r="P31" s="175">
        <v>2040</v>
      </c>
      <c r="Q31" s="175">
        <v>2041</v>
      </c>
      <c r="R31" s="175">
        <v>2042</v>
      </c>
      <c r="S31" s="175">
        <v>2043</v>
      </c>
      <c r="T31" s="175">
        <v>2044</v>
      </c>
    </row>
    <row r="32" spans="2:34">
      <c r="B32" s="164" t="s">
        <v>224</v>
      </c>
      <c r="C32" s="182"/>
      <c r="D32" s="182"/>
      <c r="E32" s="182"/>
      <c r="F32" s="182"/>
      <c r="G32" s="182"/>
      <c r="H32" s="182"/>
      <c r="I32" s="182"/>
      <c r="J32" s="182"/>
      <c r="K32" s="182"/>
      <c r="L32" s="182"/>
      <c r="M32" s="182"/>
      <c r="N32" s="182"/>
      <c r="O32" s="182"/>
      <c r="P32" s="182"/>
      <c r="Q32" s="182"/>
      <c r="R32" s="182"/>
      <c r="S32" s="182"/>
      <c r="T32" s="182"/>
    </row>
    <row r="33" spans="2:22">
      <c r="B33" s="177" t="s">
        <v>225</v>
      </c>
      <c r="C33" s="176"/>
      <c r="D33" s="176"/>
      <c r="E33" s="176"/>
      <c r="F33" s="176"/>
      <c r="G33" s="176"/>
      <c r="H33" s="176"/>
      <c r="I33" s="176"/>
      <c r="J33" s="176"/>
      <c r="K33" s="176"/>
      <c r="L33" s="176"/>
      <c r="M33" s="176"/>
      <c r="N33" s="176"/>
      <c r="O33" s="176"/>
      <c r="P33" s="176"/>
      <c r="Q33" s="176"/>
      <c r="R33" s="176"/>
      <c r="S33" s="176"/>
      <c r="T33" s="176"/>
    </row>
    <row r="34" spans="2:22">
      <c r="B34" s="174" t="s">
        <v>226</v>
      </c>
      <c r="C34" s="176"/>
      <c r="D34" s="176"/>
      <c r="E34" s="176"/>
      <c r="F34" s="176"/>
      <c r="G34" s="176"/>
      <c r="H34" s="176"/>
      <c r="I34" s="176"/>
      <c r="J34" s="176"/>
      <c r="K34" s="176"/>
      <c r="L34" s="176"/>
      <c r="M34" s="176"/>
      <c r="N34" s="176"/>
      <c r="O34" s="176"/>
      <c r="P34" s="176"/>
      <c r="Q34" s="176"/>
      <c r="R34" s="176"/>
      <c r="S34" s="176"/>
      <c r="T34" s="176"/>
    </row>
    <row r="35" spans="2:22">
      <c r="C35" s="172"/>
      <c r="D35" s="172"/>
      <c r="E35" s="172"/>
      <c r="F35" s="172"/>
      <c r="G35" s="172"/>
      <c r="H35" s="172"/>
      <c r="I35" s="172"/>
      <c r="J35" s="172"/>
      <c r="K35" s="172"/>
      <c r="L35" s="172"/>
      <c r="M35" s="172"/>
      <c r="N35" s="172"/>
      <c r="O35" s="172"/>
      <c r="P35" s="172"/>
      <c r="Q35" s="172"/>
      <c r="R35" s="172"/>
      <c r="S35" s="172"/>
      <c r="T35" s="172"/>
    </row>
    <row r="36" spans="2:22">
      <c r="B36" s="164" t="s">
        <v>227</v>
      </c>
      <c r="C36" s="176"/>
      <c r="D36" s="176"/>
      <c r="E36" s="176"/>
      <c r="F36" s="176"/>
      <c r="G36" s="176"/>
      <c r="H36" s="176"/>
      <c r="I36" s="176"/>
      <c r="J36" s="176"/>
      <c r="K36" s="176"/>
      <c r="L36" s="176"/>
      <c r="M36" s="176"/>
      <c r="N36" s="176"/>
      <c r="O36" s="176"/>
      <c r="P36" s="176"/>
      <c r="Q36" s="176"/>
      <c r="R36" s="176"/>
      <c r="S36" s="176"/>
      <c r="T36" s="176"/>
    </row>
    <row r="37" spans="2:22">
      <c r="B37" s="164" t="s">
        <v>228</v>
      </c>
      <c r="C37" s="176"/>
      <c r="D37" s="176"/>
      <c r="E37" s="176"/>
      <c r="F37" s="176"/>
      <c r="G37" s="176"/>
      <c r="H37" s="176"/>
      <c r="I37" s="176"/>
      <c r="J37" s="176"/>
      <c r="K37" s="176"/>
      <c r="L37" s="176"/>
      <c r="M37" s="176"/>
      <c r="N37" s="176"/>
      <c r="O37" s="176"/>
      <c r="P37" s="176"/>
      <c r="Q37" s="176"/>
      <c r="R37" s="176"/>
      <c r="S37" s="176"/>
      <c r="T37" s="176"/>
    </row>
    <row r="38" spans="2:22">
      <c r="B38" s="177" t="s">
        <v>229</v>
      </c>
      <c r="C38" s="176"/>
      <c r="D38" s="176"/>
      <c r="E38" s="176"/>
      <c r="F38" s="176"/>
      <c r="G38" s="176"/>
      <c r="H38" s="176"/>
      <c r="I38" s="176"/>
      <c r="J38" s="176"/>
      <c r="K38" s="176"/>
      <c r="L38" s="176"/>
      <c r="M38" s="176"/>
      <c r="N38" s="176"/>
      <c r="O38" s="176"/>
      <c r="P38" s="176"/>
      <c r="Q38" s="176"/>
      <c r="R38" s="176"/>
      <c r="S38" s="176"/>
      <c r="T38" s="176"/>
    </row>
    <row r="39" spans="2:22">
      <c r="B39" s="177" t="s">
        <v>230</v>
      </c>
      <c r="C39" s="176"/>
      <c r="D39" s="176"/>
      <c r="E39" s="176"/>
      <c r="F39" s="176"/>
      <c r="G39" s="176"/>
      <c r="H39" s="176"/>
      <c r="I39" s="176"/>
      <c r="J39" s="176"/>
      <c r="K39" s="176"/>
      <c r="L39" s="176"/>
      <c r="M39" s="176"/>
      <c r="N39" s="176"/>
      <c r="O39" s="176"/>
      <c r="P39" s="176"/>
      <c r="Q39" s="176"/>
      <c r="R39" s="176"/>
      <c r="S39" s="176"/>
      <c r="T39" s="176"/>
    </row>
    <row r="40" spans="2:22">
      <c r="B40" s="174" t="s">
        <v>231</v>
      </c>
      <c r="C40" s="176"/>
      <c r="D40" s="176"/>
      <c r="E40" s="176"/>
      <c r="F40" s="176"/>
      <c r="G40" s="176"/>
      <c r="H40" s="176"/>
      <c r="I40" s="176"/>
      <c r="J40" s="176"/>
      <c r="K40" s="176"/>
      <c r="L40" s="176"/>
      <c r="M40" s="176"/>
      <c r="N40" s="176"/>
      <c r="O40" s="176"/>
      <c r="P40" s="176"/>
      <c r="Q40" s="176"/>
      <c r="R40" s="176"/>
      <c r="S40" s="176"/>
      <c r="T40" s="176"/>
    </row>
    <row r="41" spans="2:22">
      <c r="C41" s="172"/>
      <c r="D41" s="172"/>
      <c r="E41" s="172"/>
      <c r="F41" s="172"/>
      <c r="G41" s="172"/>
      <c r="H41" s="172"/>
      <c r="I41" s="172"/>
      <c r="J41" s="172"/>
      <c r="K41" s="172"/>
      <c r="L41" s="172"/>
      <c r="M41" s="172"/>
      <c r="N41" s="172"/>
      <c r="O41" s="172"/>
      <c r="P41" s="172"/>
      <c r="Q41" s="172"/>
      <c r="R41" s="172"/>
      <c r="S41" s="172"/>
      <c r="T41" s="172"/>
    </row>
    <row r="42" spans="2:22">
      <c r="B42" s="174" t="s">
        <v>232</v>
      </c>
      <c r="C42" s="179"/>
      <c r="D42" s="179"/>
      <c r="E42" s="179"/>
      <c r="F42" s="179"/>
      <c r="G42" s="179"/>
      <c r="H42" s="179"/>
      <c r="I42" s="179"/>
      <c r="J42" s="179"/>
      <c r="K42" s="179"/>
      <c r="L42" s="179"/>
      <c r="M42" s="179"/>
      <c r="N42" s="179"/>
      <c r="O42" s="179"/>
      <c r="P42" s="179"/>
      <c r="Q42" s="179"/>
      <c r="R42" s="179"/>
      <c r="S42" s="179"/>
      <c r="T42" s="179"/>
      <c r="V42" s="180"/>
    </row>
    <row r="43" spans="2:22">
      <c r="B43" s="164" t="s">
        <v>233</v>
      </c>
      <c r="C43" s="181"/>
      <c r="D43" s="181"/>
      <c r="E43" s="181"/>
      <c r="F43" s="181"/>
      <c r="G43" s="181"/>
      <c r="H43" s="181"/>
      <c r="I43" s="181"/>
      <c r="J43" s="181"/>
      <c r="K43" s="181"/>
      <c r="L43" s="181"/>
      <c r="M43" s="181"/>
      <c r="N43" s="181"/>
      <c r="O43" s="181"/>
      <c r="P43" s="181"/>
      <c r="Q43" s="181"/>
      <c r="R43" s="181"/>
      <c r="S43" s="181"/>
      <c r="T43" s="181"/>
    </row>
    <row r="45" spans="2:22">
      <c r="D45" s="178"/>
      <c r="E45" s="178"/>
      <c r="F45" s="178"/>
      <c r="G45" s="178"/>
      <c r="H45" s="178"/>
      <c r="I45" s="178"/>
      <c r="J45" s="178"/>
      <c r="K45" s="178"/>
      <c r="L45" s="178"/>
      <c r="M45" s="178"/>
      <c r="N45" s="178"/>
    </row>
    <row r="46" spans="2:22" ht="15" customHeight="1">
      <c r="B46" s="173" t="s">
        <v>9</v>
      </c>
    </row>
    <row r="47" spans="2:22">
      <c r="B47" s="174" t="s">
        <v>223</v>
      </c>
      <c r="C47" s="175">
        <v>2027</v>
      </c>
      <c r="D47" s="175">
        <v>2028</v>
      </c>
      <c r="E47" s="175">
        <v>2029</v>
      </c>
      <c r="F47" s="175">
        <v>2030</v>
      </c>
      <c r="G47" s="175">
        <v>2031</v>
      </c>
      <c r="H47" s="175">
        <v>2032</v>
      </c>
      <c r="I47" s="175">
        <v>2033</v>
      </c>
      <c r="J47" s="175">
        <v>2034</v>
      </c>
      <c r="K47" s="175">
        <v>2035</v>
      </c>
      <c r="L47" s="175">
        <v>2036</v>
      </c>
      <c r="M47" s="175">
        <v>2037</v>
      </c>
    </row>
    <row r="48" spans="2:22">
      <c r="B48" s="164" t="s">
        <v>224</v>
      </c>
      <c r="C48" s="176"/>
      <c r="D48" s="176"/>
      <c r="E48" s="176"/>
      <c r="F48" s="176"/>
      <c r="G48" s="176"/>
      <c r="H48" s="176"/>
      <c r="I48" s="176"/>
      <c r="J48" s="176"/>
      <c r="K48" s="176"/>
      <c r="L48" s="176"/>
      <c r="M48" s="176"/>
    </row>
    <row r="49" spans="2:15">
      <c r="B49" s="177" t="s">
        <v>225</v>
      </c>
      <c r="C49" s="176"/>
      <c r="D49" s="176"/>
      <c r="E49" s="176"/>
      <c r="F49" s="176"/>
      <c r="G49" s="176"/>
      <c r="H49" s="176"/>
      <c r="I49" s="176"/>
      <c r="J49" s="176"/>
      <c r="K49" s="176"/>
      <c r="L49" s="176"/>
      <c r="M49" s="176"/>
    </row>
    <row r="50" spans="2:15">
      <c r="B50" s="174" t="s">
        <v>226</v>
      </c>
      <c r="C50" s="176"/>
      <c r="D50" s="176"/>
      <c r="E50" s="176"/>
      <c r="F50" s="176"/>
      <c r="G50" s="176"/>
      <c r="H50" s="176"/>
      <c r="I50" s="176"/>
      <c r="J50" s="176"/>
      <c r="K50" s="176"/>
      <c r="L50" s="176"/>
      <c r="M50" s="176"/>
    </row>
    <row r="51" spans="2:15">
      <c r="C51" s="140"/>
      <c r="D51" s="140"/>
      <c r="E51" s="140"/>
      <c r="F51" s="140"/>
      <c r="G51" s="140"/>
      <c r="H51" s="140"/>
      <c r="I51" s="140"/>
      <c r="J51" s="140"/>
      <c r="K51" s="140"/>
      <c r="L51" s="140"/>
      <c r="M51" s="140"/>
    </row>
    <row r="52" spans="2:15">
      <c r="B52" s="164" t="s">
        <v>227</v>
      </c>
      <c r="C52" s="176"/>
      <c r="D52" s="176"/>
      <c r="E52" s="176"/>
      <c r="F52" s="176"/>
      <c r="G52" s="176"/>
      <c r="H52" s="176"/>
      <c r="I52" s="176"/>
      <c r="J52" s="176"/>
      <c r="K52" s="176"/>
      <c r="L52" s="176"/>
      <c r="M52" s="176"/>
    </row>
    <row r="53" spans="2:15">
      <c r="B53" s="164" t="s">
        <v>228</v>
      </c>
      <c r="C53" s="176"/>
      <c r="D53" s="176"/>
      <c r="E53" s="176"/>
      <c r="F53" s="176"/>
      <c r="G53" s="176"/>
      <c r="H53" s="176"/>
      <c r="I53" s="176"/>
      <c r="J53" s="176"/>
      <c r="K53" s="176"/>
      <c r="L53" s="176"/>
      <c r="M53" s="176"/>
    </row>
    <row r="54" spans="2:15">
      <c r="B54" s="177" t="s">
        <v>229</v>
      </c>
      <c r="C54" s="176"/>
      <c r="D54" s="176"/>
      <c r="E54" s="176"/>
      <c r="F54" s="176"/>
      <c r="G54" s="176"/>
      <c r="H54" s="176"/>
      <c r="I54" s="176"/>
      <c r="J54" s="176"/>
      <c r="K54" s="176"/>
      <c r="L54" s="176"/>
      <c r="M54" s="176"/>
    </row>
    <row r="55" spans="2:15">
      <c r="B55" s="177" t="s">
        <v>230</v>
      </c>
      <c r="C55" s="176"/>
      <c r="D55" s="176"/>
      <c r="E55" s="176"/>
      <c r="F55" s="176"/>
      <c r="G55" s="176"/>
      <c r="H55" s="176"/>
      <c r="I55" s="176"/>
      <c r="J55" s="176"/>
      <c r="K55" s="176"/>
      <c r="L55" s="176"/>
      <c r="M55" s="176"/>
    </row>
    <row r="56" spans="2:15">
      <c r="B56" s="174" t="s">
        <v>231</v>
      </c>
      <c r="C56" s="176"/>
      <c r="D56" s="176"/>
      <c r="E56" s="176"/>
      <c r="F56" s="176"/>
      <c r="G56" s="176"/>
      <c r="H56" s="176"/>
      <c r="I56" s="176"/>
      <c r="J56" s="176"/>
      <c r="K56" s="176"/>
      <c r="L56" s="176"/>
      <c r="M56" s="176"/>
    </row>
    <row r="57" spans="2:15">
      <c r="C57" s="172"/>
      <c r="D57" s="172"/>
      <c r="E57" s="172"/>
      <c r="F57" s="172"/>
      <c r="G57" s="172"/>
      <c r="H57" s="172"/>
      <c r="I57" s="172"/>
      <c r="J57" s="172"/>
      <c r="K57" s="172"/>
      <c r="L57" s="172"/>
      <c r="M57" s="172"/>
    </row>
    <row r="58" spans="2:15">
      <c r="B58" s="174" t="s">
        <v>232</v>
      </c>
      <c r="C58" s="179"/>
      <c r="D58" s="179"/>
      <c r="E58" s="179"/>
      <c r="F58" s="179"/>
      <c r="G58" s="179"/>
      <c r="H58" s="179"/>
      <c r="I58" s="179"/>
      <c r="J58" s="179"/>
      <c r="K58" s="179"/>
      <c r="L58" s="179"/>
      <c r="M58" s="179"/>
      <c r="O58" s="180"/>
    </row>
    <row r="59" spans="2:15">
      <c r="B59" s="164" t="s">
        <v>233</v>
      </c>
      <c r="C59" s="181"/>
      <c r="D59" s="181"/>
      <c r="E59" s="181"/>
      <c r="F59" s="181"/>
      <c r="G59" s="181"/>
      <c r="H59" s="181"/>
      <c r="I59" s="181"/>
      <c r="J59" s="181"/>
      <c r="K59" s="181"/>
      <c r="L59" s="181"/>
      <c r="M59" s="181"/>
    </row>
    <row r="60" spans="2:15">
      <c r="C60" s="172"/>
      <c r="D60" s="172"/>
      <c r="E60" s="172"/>
      <c r="F60" s="172"/>
      <c r="G60" s="172"/>
      <c r="H60" s="172"/>
      <c r="I60" s="172"/>
      <c r="J60" s="172"/>
      <c r="K60" s="172"/>
      <c r="L60" s="172"/>
      <c r="M60" s="172"/>
    </row>
    <row r="61" spans="2:15">
      <c r="C61" s="172"/>
      <c r="D61" s="172"/>
      <c r="E61" s="172"/>
      <c r="F61" s="172"/>
      <c r="G61" s="172"/>
      <c r="H61" s="172"/>
      <c r="I61" s="172"/>
      <c r="J61" s="172"/>
      <c r="K61" s="172"/>
      <c r="L61" s="172"/>
      <c r="M61" s="172"/>
    </row>
    <row r="62" spans="2:15">
      <c r="C62" s="172"/>
      <c r="D62" s="172"/>
      <c r="E62" s="172"/>
      <c r="F62" s="172"/>
      <c r="G62" s="172"/>
      <c r="H62" s="172"/>
      <c r="I62" s="172"/>
      <c r="J62" s="172"/>
      <c r="K62" s="172"/>
      <c r="L62" s="172"/>
      <c r="M62" s="172"/>
    </row>
    <row r="64" spans="2:15">
      <c r="D64" s="178"/>
      <c r="E64" s="178"/>
      <c r="F64" s="178"/>
      <c r="G64" s="178"/>
      <c r="H64" s="178"/>
      <c r="I64" s="178"/>
      <c r="J64" s="178"/>
      <c r="K64" s="178"/>
      <c r="L64" s="178"/>
      <c r="M64" s="178"/>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00000"/>
    <pageSetUpPr fitToPage="1"/>
  </sheetPr>
  <dimension ref="B1:K78"/>
  <sheetViews>
    <sheetView showGridLines="0" topLeftCell="A37" zoomScaleNormal="100" workbookViewId="0">
      <selection activeCell="E41" sqref="E41"/>
    </sheetView>
  </sheetViews>
  <sheetFormatPr defaultColWidth="8.42578125" defaultRowHeight="15"/>
  <cols>
    <col min="1" max="1" width="2" customWidth="1"/>
    <col min="2" max="2" width="60" customWidth="1"/>
    <col min="3" max="9" width="15" customWidth="1"/>
    <col min="10" max="10" width="48" customWidth="1"/>
  </cols>
  <sheetData>
    <row r="1" spans="2:10" ht="18">
      <c r="B1" s="183" t="s">
        <v>234</v>
      </c>
    </row>
    <row r="2" spans="2:10">
      <c r="B2" s="184" t="s">
        <v>235</v>
      </c>
    </row>
    <row r="4" spans="2:10">
      <c r="B4" s="185" t="s">
        <v>236</v>
      </c>
      <c r="C4" s="185"/>
      <c r="D4" s="185"/>
      <c r="E4" s="185"/>
      <c r="F4" s="185"/>
      <c r="G4" s="185"/>
      <c r="H4" s="185"/>
      <c r="I4" s="185"/>
      <c r="J4" s="185"/>
    </row>
    <row r="5" spans="2:10">
      <c r="B5" s="186" t="s">
        <v>237</v>
      </c>
      <c r="C5" s="187">
        <f>MAX('Puma DCF'!D17:AG17)</f>
        <v>300</v>
      </c>
      <c r="D5" s="188">
        <f>MAX('Bison DCF'!D17:N17)</f>
        <v>75</v>
      </c>
      <c r="E5" s="188">
        <f>MAX('Fennec DCF'!D17:U17)</f>
        <v>150</v>
      </c>
      <c r="F5" s="184" t="s">
        <v>238</v>
      </c>
    </row>
    <row r="6" spans="2:10">
      <c r="B6" s="186" t="s">
        <v>239</v>
      </c>
      <c r="C6" s="187">
        <f>AVERAGEIF('Puma DCF'!D17:AG17,"&gt;0")</f>
        <v>284.46816793928775</v>
      </c>
      <c r="F6" s="184" t="s">
        <v>240</v>
      </c>
    </row>
    <row r="7" spans="2:10">
      <c r="B7" s="186" t="s">
        <v>241</v>
      </c>
      <c r="C7" s="187">
        <f>SUM('Puma DCF'!D17:H17)</f>
        <v>0</v>
      </c>
      <c r="F7" s="184" t="s">
        <v>242</v>
      </c>
    </row>
    <row r="8" spans="2:10">
      <c r="B8" s="186" t="s">
        <v>243</v>
      </c>
      <c r="C8" s="189">
        <f>-SUM('Puma DCF'!D38:H38)</f>
        <v>15000</v>
      </c>
      <c r="F8" s="184" t="s">
        <v>244</v>
      </c>
    </row>
    <row r="9" spans="2:10">
      <c r="B9" s="190" t="s">
        <v>245</v>
      </c>
    </row>
    <row r="11" spans="2:10">
      <c r="B11" s="185" t="s">
        <v>246</v>
      </c>
      <c r="C11" s="185"/>
      <c r="D11" s="185"/>
      <c r="E11" s="185"/>
      <c r="F11" s="185"/>
      <c r="G11" s="185"/>
      <c r="H11" s="185"/>
      <c r="I11" s="185"/>
      <c r="J11" s="185"/>
    </row>
    <row r="12" spans="2:10">
      <c r="B12" s="191" t="s">
        <v>247</v>
      </c>
      <c r="C12" s="191" t="s">
        <v>248</v>
      </c>
      <c r="D12" s="191"/>
      <c r="E12" s="192"/>
      <c r="F12" s="191" t="s">
        <v>249</v>
      </c>
      <c r="G12" s="192"/>
      <c r="H12" s="192"/>
      <c r="I12" s="192"/>
      <c r="J12" s="192"/>
    </row>
    <row r="13" spans="2:10">
      <c r="B13" s="186" t="s">
        <v>250</v>
      </c>
      <c r="C13" s="193" t="str">
        <f>Summary!E19</f>
        <v>FAIL</v>
      </c>
      <c r="F13" s="184" t="s">
        <v>251</v>
      </c>
    </row>
    <row r="14" spans="2:10">
      <c r="B14" s="186" t="s">
        <v>252</v>
      </c>
      <c r="C14" s="193" t="str">
        <f>Summary!E20</f>
        <v>FAIL</v>
      </c>
      <c r="F14" s="184" t="s">
        <v>253</v>
      </c>
    </row>
    <row r="15" spans="2:10">
      <c r="B15" s="186" t="s">
        <v>254</v>
      </c>
      <c r="C15" s="193" t="str">
        <f>IF(Summary!E21="DISQUALIFIED","Not reached","Weigh")</f>
        <v>Not reached</v>
      </c>
      <c r="F15" s="184" t="s">
        <v>255</v>
      </c>
    </row>
    <row r="16" spans="2:10">
      <c r="B16" s="190" t="s">
        <v>256</v>
      </c>
      <c r="C16" s="193" t="str">
        <f>Summary!E21</f>
        <v>DISQUALIFIED</v>
      </c>
      <c r="F16" s="184" t="s">
        <v>257</v>
      </c>
    </row>
    <row r="18" spans="2:10">
      <c r="B18" s="185" t="s">
        <v>258</v>
      </c>
      <c r="C18" s="185"/>
      <c r="D18" s="185"/>
      <c r="E18" s="185"/>
      <c r="F18" s="185"/>
      <c r="G18" s="185"/>
      <c r="H18" s="185"/>
      <c r="I18" s="185"/>
      <c r="J18" s="185"/>
    </row>
    <row r="19" spans="2:10" ht="27.75" customHeight="1">
      <c r="B19" s="194" t="s">
        <v>259</v>
      </c>
      <c r="C19" s="195" t="s">
        <v>260</v>
      </c>
      <c r="D19" s="195" t="s">
        <v>261</v>
      </c>
      <c r="E19" s="192"/>
      <c r="F19" s="194" t="s">
        <v>262</v>
      </c>
      <c r="G19" s="192"/>
      <c r="H19" s="192"/>
      <c r="I19" s="192"/>
      <c r="J19" s="192"/>
    </row>
    <row r="20" spans="2:10">
      <c r="B20" s="186" t="s">
        <v>263</v>
      </c>
      <c r="C20" s="196">
        <f>'Puma DCF'!D17</f>
        <v>0</v>
      </c>
      <c r="D20" s="196">
        <f>'Puma DCF'!I17</f>
        <v>300</v>
      </c>
      <c r="F20" s="184" t="str">
        <f>"From Exhibit 7"</f>
        <v>From Exhibit 7</v>
      </c>
    </row>
    <row r="21" spans="2:10">
      <c r="B21" s="186" t="s">
        <v>264</v>
      </c>
      <c r="C21" s="196">
        <f>'Puma DCF'!D18</f>
        <v>0</v>
      </c>
      <c r="D21" s="196">
        <f>'Puma DCF'!I18</f>
        <v>109.5</v>
      </c>
      <c r="F21" s="184" t="str">
        <f>"MBOED x 1,000 x 365 / 1,000,000"</f>
        <v>MBOED x 1,000 x 365 / 1,000,000</v>
      </c>
    </row>
    <row r="22" spans="2:10">
      <c r="B22" s="186" t="s">
        <v>265</v>
      </c>
      <c r="C22" s="197">
        <f>'Puma DCF'!D26</f>
        <v>0</v>
      </c>
      <c r="D22" s="197">
        <f>'Puma DCF'!I26</f>
        <v>6921.9877500000002</v>
      </c>
      <c r="F22" s="184" t="str">
        <f>"Volume x "&amp;TEXT('Puma DCF'!I19,"0%")&amp;" crude share (Exhibit 8) x Brent "&amp;TEXT('Puma DCF'!I22,"0.00")&amp;" USD/bbl (Exhibit 9)"</f>
        <v>Volume x 85% crude share (Exhibit 8) x Brent 74.37 USD/bbl (Exhibit 9)</v>
      </c>
    </row>
    <row r="23" spans="2:10">
      <c r="B23" s="186" t="s">
        <v>266</v>
      </c>
      <c r="C23" s="197">
        <f>'Puma DCF'!D27</f>
        <v>0</v>
      </c>
      <c r="D23" s="197">
        <f>'Puma DCF'!I27</f>
        <v>228.28384800000003</v>
      </c>
      <c r="F23" s="184" t="str">
        <f>"Volume x "&amp;TEXT('Puma DCF'!I20,"0%")&amp;" gas share x Henry Hub "&amp;TEXT('Puma DCF'!I23,"0.00")&amp;" USD/MMBtu x 6 x 1.028 = "&amp;TEXT('Puma DCF'!I25,"0.00")&amp;" USD/boe"</f>
        <v>Volume x 10% gas share x Henry Hub 3.38 USD/MMBtu x 6 x 1.028 = 20.85 USD/boe</v>
      </c>
    </row>
    <row r="24" spans="2:10">
      <c r="B24" s="186" t="s">
        <v>267</v>
      </c>
      <c r="C24" s="197">
        <f>'Puma DCF'!D28</f>
        <v>0</v>
      </c>
      <c r="D24" s="197">
        <f>'Puma DCF'!I28</f>
        <v>133.09725</v>
      </c>
      <c r="F24" s="184" t="str">
        <f>"Volume x "&amp;TEXT('Puma DCF'!I21,"0%")&amp;" NGL share x OPIS "&amp;TEXT('Puma DCF'!I24,"0.00")&amp;" USD/bbl"</f>
        <v>Volume x 5% NGL share x OPIS 24.31 USD/bbl</v>
      </c>
    </row>
    <row r="25" spans="2:10">
      <c r="B25" s="190" t="s">
        <v>268</v>
      </c>
      <c r="C25" s="189">
        <f>'Puma DCF'!D29</f>
        <v>0</v>
      </c>
      <c r="D25" s="189">
        <f>'Puma DCF'!I29</f>
        <v>7283.3688480000001</v>
      </c>
      <c r="F25" s="184" t="str">
        <f>"Sum of the three products"</f>
        <v>Sum of the three products</v>
      </c>
    </row>
    <row r="26" spans="2:10">
      <c r="B26" s="186" t="s">
        <v>269</v>
      </c>
      <c r="C26" s="197">
        <f>'Puma DCF'!D30</f>
        <v>0</v>
      </c>
      <c r="D26" s="197">
        <f>'Puma DCF'!I30</f>
        <v>-1456.6737696</v>
      </c>
      <c r="F26" s="184" t="str">
        <f>TEXT('Puma DCF'!D5,"0%")&amp;" of total revenue (Exhibit 1)"</f>
        <v>20% of total revenue (Exhibit 1)</v>
      </c>
    </row>
    <row r="27" spans="2:10">
      <c r="B27" s="186" t="s">
        <v>270</v>
      </c>
      <c r="C27" s="197">
        <f>SUM('Puma DCF'!D31:D33)</f>
        <v>0</v>
      </c>
      <c r="D27" s="197">
        <f>SUM('Puma DCF'!I31:I33)</f>
        <v>-1697.25</v>
      </c>
      <c r="F27" s="184" t="str">
        <f>TEXT('Puma DCF'!D6+'Puma DCF'!D7+'Puma DCF'!D8,"0.00")&amp;" USD/boe x volume (8 + 3.5 + 4, Exhibit 1)"</f>
        <v>15.50 USD/boe x volume (8 + 3.5 + 4, Exhibit 1)</v>
      </c>
    </row>
    <row r="28" spans="2:10">
      <c r="B28" s="190" t="s">
        <v>271</v>
      </c>
      <c r="C28" s="189">
        <f>'Puma DCF'!D34</f>
        <v>0</v>
      </c>
      <c r="D28" s="189">
        <f>'Puma DCF'!I34</f>
        <v>4129.4450784000001</v>
      </c>
      <c r="F28" s="184" t="str">
        <f>"Revenue less royalty and operating costs"</f>
        <v>Revenue less royalty and operating costs</v>
      </c>
    </row>
    <row r="29" spans="2:10">
      <c r="B29" s="186" t="s">
        <v>272</v>
      </c>
      <c r="C29" s="197">
        <f>'Puma DCF'!D35</f>
        <v>0</v>
      </c>
      <c r="D29" s="197">
        <f>'Puma DCF'!I35</f>
        <v>-600</v>
      </c>
      <c r="F29" s="184" t="str">
        <f>"Development cost "&amp;TEXT('Puma DCF'!D4,"#,##0")&amp;" / "&amp;'Puma DCF'!D9&amp;" years, charged from the first production year"</f>
        <v>Development cost 15,000 / 25 years, charged from the first production year</v>
      </c>
    </row>
    <row r="30" spans="2:10">
      <c r="B30" s="186" t="s">
        <v>273</v>
      </c>
      <c r="C30" s="197">
        <f>'Puma DCF'!D37</f>
        <v>0</v>
      </c>
      <c r="D30" s="197">
        <f>'Puma DCF'!I37</f>
        <v>-741.18346646399993</v>
      </c>
      <c r="F30" s="184" t="str">
        <f>TEXT('Puma DCF'!D13,"0%")&amp;" x (EBITDA - depreciation)"</f>
        <v>21% x (EBITDA - depreciation)</v>
      </c>
    </row>
    <row r="31" spans="2:10">
      <c r="B31" s="186" t="s">
        <v>274</v>
      </c>
      <c r="C31" s="197">
        <f>'Puma DCF'!D38</f>
        <v>-3000</v>
      </c>
      <c r="D31" s="197">
        <f>'Puma DCF'!I38</f>
        <v>0</v>
      </c>
      <c r="F31" s="184" t="str">
        <f>"Development cost "&amp;TEXT('Puma DCF'!D4,"#,##0")&amp;" / "&amp;'Puma DCF'!D11&amp;" development years, charged 2027 to 2031"</f>
        <v>Development cost 15,000 / 5 development years, charged 2027 to 2031</v>
      </c>
    </row>
    <row r="32" spans="2:10">
      <c r="B32" s="190" t="s">
        <v>275</v>
      </c>
      <c r="C32" s="189">
        <f>'Puma DCF'!D40</f>
        <v>-3000</v>
      </c>
      <c r="D32" s="189">
        <f>'Puma DCF'!I40</f>
        <v>3388.261611936</v>
      </c>
      <c r="F32" s="184" t="str">
        <f>"EBITDA - tax - capex - decommissioning. This feeds the leverage test."</f>
        <v>EBITDA - tax - capex - decommissioning. This feeds the leverage test.</v>
      </c>
    </row>
    <row r="33" spans="2:10">
      <c r="B33" s="186" t="s">
        <v>276</v>
      </c>
      <c r="C33" s="197">
        <f>'Puma DCF'!D41</f>
        <v>0</v>
      </c>
      <c r="D33" s="197">
        <f>'Puma DCF'!I41</f>
        <v>-65.7</v>
      </c>
      <c r="F33" s="184" t="str">
        <f>"Volume x "&amp;'Puma DCF'!D12&amp;" kg/boe x "&amp;'WACC &amp; Inputs'!C5&amp;" USD/t / 1,000 (valuation only; non-cash, not deductible)"</f>
        <v>Volume x 8 kg/boe x 75 USD/t / 1,000 (valuation only; non-cash, not deductible)</v>
      </c>
    </row>
    <row r="34" spans="2:10">
      <c r="B34" s="190" t="s">
        <v>277</v>
      </c>
      <c r="C34" s="189">
        <f>'Puma DCF'!D42</f>
        <v>-3000</v>
      </c>
      <c r="D34" s="189">
        <f>'Puma DCF'!I42</f>
        <v>3322.5616119360002</v>
      </c>
      <c r="F34" s="184" t="str">
        <f>"Free cash flow after carbon. Used for NPV and IRR, not for leverage."</f>
        <v>Free cash flow after carbon. Used for NPV and IRR, not for leverage.</v>
      </c>
    </row>
    <row r="35" spans="2:10">
      <c r="B35" s="184" t="s">
        <v>278</v>
      </c>
    </row>
    <row r="37" spans="2:10">
      <c r="B37" s="185" t="s">
        <v>279</v>
      </c>
      <c r="C37" s="185"/>
      <c r="D37" s="185"/>
      <c r="E37" s="185"/>
      <c r="F37" s="185"/>
      <c r="G37" s="185"/>
      <c r="H37" s="185"/>
      <c r="I37" s="185"/>
      <c r="J37" s="185"/>
    </row>
    <row r="38" spans="2:10">
      <c r="B38" s="191"/>
      <c r="C38" s="198" t="s">
        <v>155</v>
      </c>
      <c r="D38" s="198" t="s">
        <v>158</v>
      </c>
      <c r="E38" s="198" t="s">
        <v>159</v>
      </c>
      <c r="F38" s="192"/>
      <c r="G38" s="192"/>
      <c r="H38" s="192"/>
      <c r="I38" s="192"/>
      <c r="J38" s="192"/>
    </row>
    <row r="39" spans="2:10">
      <c r="B39" s="186" t="s">
        <v>280</v>
      </c>
      <c r="C39" s="197">
        <f>Summary!C10</f>
        <v>1074.1462284532063</v>
      </c>
      <c r="D39" s="197">
        <f>Summary!D10</f>
        <v>1419.3544716545621</v>
      </c>
      <c r="E39" s="189">
        <f>Summary!E10</f>
        <v>5615.3516617871674</v>
      </c>
      <c r="F39" s="184" t="s">
        <v>281</v>
      </c>
    </row>
    <row r="40" spans="2:10">
      <c r="B40" s="186" t="s">
        <v>282</v>
      </c>
      <c r="C40" s="199">
        <f>Summary!C11</f>
        <v>0.2132451869962817</v>
      </c>
      <c r="D40" s="199">
        <f>Summary!D11</f>
        <v>0.19021177123834732</v>
      </c>
      <c r="E40" s="200">
        <f>Summary!E11</f>
        <v>0.15492590993666888</v>
      </c>
      <c r="F40" s="184" t="s">
        <v>283</v>
      </c>
    </row>
    <row r="41" spans="2:10">
      <c r="B41" s="186" t="s">
        <v>284</v>
      </c>
      <c r="C41" s="199">
        <f>Summary!C9</f>
        <v>8.6390682371368502E-2</v>
      </c>
      <c r="D41" s="199">
        <f>Summary!D9</f>
        <v>0.12596170748395533</v>
      </c>
      <c r="E41" s="200">
        <f>Summary!E9</f>
        <v>0.10617619492766191</v>
      </c>
    </row>
    <row r="42" spans="2:10">
      <c r="B42" s="190" t="s">
        <v>285</v>
      </c>
    </row>
    <row r="44" spans="2:10">
      <c r="B44" s="185" t="s">
        <v>286</v>
      </c>
      <c r="C44" s="185"/>
      <c r="D44" s="185"/>
      <c r="E44" s="185"/>
      <c r="F44" s="185"/>
      <c r="G44" s="185"/>
      <c r="H44" s="185"/>
      <c r="I44" s="185"/>
      <c r="J44" s="185"/>
    </row>
    <row r="45" spans="2:10">
      <c r="B45" s="184" t="s">
        <v>287</v>
      </c>
    </row>
    <row r="46" spans="2:10">
      <c r="B46" s="191" t="s">
        <v>223</v>
      </c>
      <c r="C46" s="201">
        <f>'Puma DCF'!D16</f>
        <v>2027</v>
      </c>
      <c r="D46" s="201">
        <f>'Puma DCF'!E16</f>
        <v>2028</v>
      </c>
      <c r="E46" s="201">
        <f>'Puma DCF'!F16</f>
        <v>2029</v>
      </c>
      <c r="F46" s="201">
        <f>'Puma DCF'!G16</f>
        <v>2030</v>
      </c>
      <c r="G46" s="201">
        <f>'Puma DCF'!H16</f>
        <v>2031</v>
      </c>
      <c r="H46" s="192"/>
      <c r="I46" s="192"/>
      <c r="J46" s="192"/>
    </row>
    <row r="47" spans="2:10">
      <c r="B47" s="186" t="s">
        <v>288</v>
      </c>
      <c r="C47" s="202">
        <f>'Puma DCF'!D54</f>
        <v>15810.5</v>
      </c>
      <c r="D47" s="202">
        <f>'Puma DCF'!E54</f>
        <v>16284.814999999999</v>
      </c>
      <c r="E47" s="202">
        <f>'Puma DCF'!F54</f>
        <v>16773.35945</v>
      </c>
      <c r="F47" s="202">
        <f>'Puma DCF'!G54</f>
        <v>17276.5602335</v>
      </c>
      <c r="G47" s="202">
        <f>'Puma DCF'!H54</f>
        <v>17794.857040504998</v>
      </c>
      <c r="H47" s="184" t="s">
        <v>289</v>
      </c>
    </row>
    <row r="48" spans="2:10">
      <c r="B48" s="186" t="s">
        <v>290</v>
      </c>
      <c r="C48" s="197">
        <f>'WACC &amp; Inputs'!$C$9*C47</f>
        <v>27668.375</v>
      </c>
      <c r="D48" s="197">
        <f>'WACC &amp; Inputs'!$C$9*D47</f>
        <v>28498.426249999997</v>
      </c>
      <c r="E48" s="197">
        <f>'WACC &amp; Inputs'!$C$9*E47</f>
        <v>29353.379037499999</v>
      </c>
      <c r="F48" s="197">
        <f>'WACC &amp; Inputs'!$C$9*F47</f>
        <v>30233.980408625001</v>
      </c>
      <c r="G48" s="197">
        <f>'WACC &amp; Inputs'!$C$9*G47</f>
        <v>31140.999820883746</v>
      </c>
      <c r="H48" s="184" t="s">
        <v>291</v>
      </c>
    </row>
    <row r="49" spans="2:11">
      <c r="B49" s="186" t="s">
        <v>292</v>
      </c>
      <c r="C49" s="202">
        <f>'Exhibit 2'!$E$73-'Puma DCF'!D58+'Puma DCF'!D59</f>
        <v>23870.9</v>
      </c>
      <c r="D49" s="197">
        <f>C49-'Puma DCF'!E58+'Puma DCF'!E59</f>
        <v>23433.445</v>
      </c>
      <c r="E49" s="197">
        <f>D49-'Puma DCF'!F58+'Puma DCF'!F59</f>
        <v>23007.077250000002</v>
      </c>
      <c r="F49" s="197">
        <f>E49-'Puma DCF'!G58+'Puma DCF'!G59</f>
        <v>22593.339912500003</v>
      </c>
      <c r="G49" s="197">
        <f>F49-'Puma DCF'!H58+'Puma DCF'!H59</f>
        <v>22193.882972125004</v>
      </c>
      <c r="H49" s="184" t="s">
        <v>293</v>
      </c>
    </row>
    <row r="50" spans="2:11">
      <c r="B50" s="186" t="s">
        <v>294</v>
      </c>
      <c r="C50" s="197">
        <f>C48-C49</f>
        <v>3797.4749999999985</v>
      </c>
      <c r="D50" s="197">
        <f>D48-D49</f>
        <v>5064.9812499999971</v>
      </c>
      <c r="E50" s="197">
        <f>E48-E49</f>
        <v>6346.3017874999969</v>
      </c>
      <c r="F50" s="197">
        <f>F48-F49</f>
        <v>7640.6404961249973</v>
      </c>
      <c r="G50" s="197">
        <f>G48-G49</f>
        <v>8947.116848758742</v>
      </c>
      <c r="H50" s="184" t="s">
        <v>295</v>
      </c>
    </row>
    <row r="51" spans="2:11">
      <c r="B51" s="186" t="s">
        <v>296</v>
      </c>
      <c r="C51" s="197">
        <f>-SUM('Puma DCF'!$D$40:D40)</f>
        <v>3000</v>
      </c>
      <c r="D51" s="197">
        <f>-SUM('Puma DCF'!$D$40:E40)</f>
        <v>6000</v>
      </c>
      <c r="E51" s="197">
        <f>-SUM('Puma DCF'!$D$40:F40)</f>
        <v>9000</v>
      </c>
      <c r="F51" s="197">
        <f>-SUM('Puma DCF'!$D$40:G40)</f>
        <v>12000</v>
      </c>
      <c r="G51" s="197">
        <f>-SUM('Puma DCF'!$D$40:H40)</f>
        <v>15000</v>
      </c>
      <c r="H51" s="184" t="s">
        <v>297</v>
      </c>
    </row>
    <row r="52" spans="2:11">
      <c r="B52" s="190" t="s">
        <v>298</v>
      </c>
      <c r="C52" s="189">
        <f>C50-C51</f>
        <v>797.47499999999854</v>
      </c>
      <c r="D52" s="189">
        <f>D50-D51</f>
        <v>-935.01875000000291</v>
      </c>
      <c r="E52" s="189">
        <f>E50-E51</f>
        <v>-2653.6982125000031</v>
      </c>
      <c r="F52" s="189">
        <f>F50-F51</f>
        <v>-4359.3595038750027</v>
      </c>
      <c r="G52" s="189">
        <f>G50-G51</f>
        <v>-6052.883151241258</v>
      </c>
    </row>
    <row r="53" spans="2:11">
      <c r="B53" s="186" t="s">
        <v>299</v>
      </c>
      <c r="C53" s="203">
        <f>C50/C51</f>
        <v>1.2658249999999995</v>
      </c>
      <c r="D53" s="203">
        <f>D50/D51</f>
        <v>0.84416354166666618</v>
      </c>
      <c r="E53" s="203">
        <f>E50/E51</f>
        <v>0.70514464305555524</v>
      </c>
      <c r="F53" s="203">
        <f>F50/F51</f>
        <v>0.63672004134374982</v>
      </c>
      <c r="G53" s="203">
        <f>G50/G51</f>
        <v>0.59647445658391618</v>
      </c>
    </row>
    <row r="54" spans="2:11">
      <c r="B54" s="184" t="s">
        <v>300</v>
      </c>
      <c r="C54" s="204">
        <f>ROUND(C52-'Puma DCF'!D64,6)</f>
        <v>0</v>
      </c>
      <c r="D54" s="204">
        <f>ROUND(D52-'Puma DCF'!E64,6)</f>
        <v>0</v>
      </c>
      <c r="E54" s="204">
        <f>ROUND(E52-'Puma DCF'!F64,6)</f>
        <v>0</v>
      </c>
      <c r="F54" s="204">
        <f>ROUND(F52-'Puma DCF'!G64,6)</f>
        <v>0</v>
      </c>
      <c r="G54" s="204">
        <f>ROUND(G52-'Puma DCF'!H64,6)</f>
        <v>0</v>
      </c>
    </row>
    <row r="55" spans="2:11">
      <c r="B55" s="190" t="str">
        <f>"Puma goes over in "&amp;TEXT(INDEX(C46:G46,MATCH(TRUE(),INDEX(C52:G52&lt;0,0),0)),"0")&amp;": it needs "&amp;TEXT(-INDEX(C52:G52,MATCH(TRUE(),INDEX(C52:G52&lt;0,0),0)),"#,##0")&amp;" more borrowing than NorthStar has room for, and the gap reaches "&amp;TEXT(-MIN(C52:G52),"#,##0")&amp;" by 2031."</f>
        <v>Puma goes over in 2028: it needs 935 more borrowing than NorthStar has room for, and the gap reaches 6,053 by 2031.</v>
      </c>
    </row>
    <row r="56" spans="2:11">
      <c r="B56" s="186" t="str">
        <f>"Puma would pass only if its build cost, phased the same way, were about "&amp;TEXT(MIN(C53:G53)*'Puma DCF'!D4/1000,"0.0")&amp;"B or less (about "&amp;TEXT(MIN(C53:G53),"0%")&amp;" of the "&amp;TEXT('Puma DCF'!D4/1000,"0.0")&amp;"B in the case). That is an illustration, not a case scenario."</f>
        <v>Puma would pass only if its build cost, phased the same way, were about 8.9B or less (about 60% of the 15.0B in the case). That is an illustration, not a case scenario.</v>
      </c>
    </row>
    <row r="58" spans="2:11">
      <c r="B58" s="185" t="s">
        <v>301</v>
      </c>
      <c r="C58" s="185"/>
      <c r="D58" s="185"/>
      <c r="E58" s="185"/>
      <c r="F58" s="185"/>
      <c r="G58" s="185"/>
      <c r="H58" s="185"/>
      <c r="I58" s="185"/>
      <c r="J58" s="185"/>
    </row>
    <row r="59" spans="2:11">
      <c r="B59" s="191" t="s">
        <v>223</v>
      </c>
      <c r="C59" s="201">
        <f>'Puma DCF'!D16</f>
        <v>2027</v>
      </c>
      <c r="D59" s="201">
        <f>'Puma DCF'!E16</f>
        <v>2028</v>
      </c>
      <c r="E59" s="201">
        <f>'Puma DCF'!F16</f>
        <v>2029</v>
      </c>
      <c r="F59" s="201">
        <f>'Puma DCF'!G16</f>
        <v>2030</v>
      </c>
      <c r="G59" s="201">
        <f>'Puma DCF'!H16</f>
        <v>2031</v>
      </c>
      <c r="H59" s="201">
        <f>'Puma DCF'!I16</f>
        <v>2032</v>
      </c>
      <c r="I59" s="201">
        <f>'Puma DCF'!J16</f>
        <v>2033</v>
      </c>
      <c r="J59" s="192"/>
      <c r="K59" s="192"/>
    </row>
    <row r="60" spans="2:11">
      <c r="B60" s="186" t="s">
        <v>224</v>
      </c>
      <c r="C60" s="197">
        <f>'Puma DCF'!D54</f>
        <v>15810.5</v>
      </c>
      <c r="D60" s="197">
        <f>'Puma DCF'!E54</f>
        <v>16284.814999999999</v>
      </c>
      <c r="E60" s="197">
        <f>'Puma DCF'!F54</f>
        <v>16773.35945</v>
      </c>
      <c r="F60" s="197">
        <f>'Puma DCF'!G54</f>
        <v>17276.5602335</v>
      </c>
      <c r="G60" s="197">
        <f>'Puma DCF'!H54</f>
        <v>17794.857040504998</v>
      </c>
      <c r="H60" s="197">
        <f>'Puma DCF'!I54</f>
        <v>18328.70275172015</v>
      </c>
      <c r="I60" s="197">
        <f>'Puma DCF'!J54</f>
        <v>18878.563834271754</v>
      </c>
      <c r="J60" s="184" t="s">
        <v>302</v>
      </c>
    </row>
    <row r="61" spans="2:11">
      <c r="B61" s="186" t="s">
        <v>303</v>
      </c>
      <c r="C61" s="197">
        <f>'Puma DCF'!D55</f>
        <v>0</v>
      </c>
      <c r="D61" s="197">
        <f>'Puma DCF'!E55</f>
        <v>0</v>
      </c>
      <c r="E61" s="197">
        <f>'Puma DCF'!F55</f>
        <v>0</v>
      </c>
      <c r="F61" s="197">
        <f>'Puma DCF'!G55</f>
        <v>0</v>
      </c>
      <c r="G61" s="197">
        <f>'Puma DCF'!H55</f>
        <v>0</v>
      </c>
      <c r="H61" s="197">
        <f>'Puma DCF'!I55</f>
        <v>4129.4450784000001</v>
      </c>
      <c r="I61" s="197">
        <f>'Puma DCF'!J55</f>
        <v>4129.4450784000001</v>
      </c>
      <c r="J61" s="184" t="s">
        <v>304</v>
      </c>
    </row>
    <row r="62" spans="2:11">
      <c r="B62" s="190" t="s">
        <v>226</v>
      </c>
      <c r="C62" s="189">
        <f>'Puma DCF'!D56</f>
        <v>15810.5</v>
      </c>
      <c r="D62" s="189">
        <f>'Puma DCF'!E56</f>
        <v>16284.814999999999</v>
      </c>
      <c r="E62" s="189">
        <f>'Puma DCF'!F56</f>
        <v>16773.35945</v>
      </c>
      <c r="F62" s="189">
        <f>'Puma DCF'!G56</f>
        <v>17276.5602335</v>
      </c>
      <c r="G62" s="189">
        <f>'Puma DCF'!H56</f>
        <v>17794.857040504998</v>
      </c>
      <c r="H62" s="189">
        <f>'Puma DCF'!I56</f>
        <v>22458.14783012015</v>
      </c>
      <c r="I62" s="189">
        <f>'Puma DCF'!J56</f>
        <v>23008.008912671754</v>
      </c>
      <c r="J62" s="184"/>
    </row>
    <row r="63" spans="2:11">
      <c r="B63" s="186" t="s">
        <v>305</v>
      </c>
      <c r="C63" s="197">
        <f>'Puma DCF'!D57</f>
        <v>24318</v>
      </c>
      <c r="D63" s="197">
        <f>'Puma DCF'!E57</f>
        <v>26870.9</v>
      </c>
      <c r="E63" s="197">
        <f>'Puma DCF'!F57</f>
        <v>29433.445</v>
      </c>
      <c r="F63" s="197">
        <f>'Puma DCF'!G57</f>
        <v>32007.077250000002</v>
      </c>
      <c r="G63" s="197">
        <f>'Puma DCF'!H57</f>
        <v>34593.3399125</v>
      </c>
      <c r="H63" s="197">
        <f>'Puma DCF'!I57</f>
        <v>37193.882972125</v>
      </c>
      <c r="I63" s="197">
        <f>'Puma DCF'!J57</f>
        <v>33422.207854715249</v>
      </c>
      <c r="J63" s="184" t="s">
        <v>306</v>
      </c>
    </row>
    <row r="64" spans="2:11">
      <c r="B64" s="186" t="s">
        <v>307</v>
      </c>
      <c r="C64" s="197">
        <f>'Puma DCF'!D58</f>
        <v>1600</v>
      </c>
      <c r="D64" s="197">
        <f>'Puma DCF'!E58</f>
        <v>1648</v>
      </c>
      <c r="E64" s="197">
        <f>'Puma DCF'!F58</f>
        <v>1697.4399999999998</v>
      </c>
      <c r="F64" s="197">
        <f>'Puma DCF'!G58</f>
        <v>1748.3632</v>
      </c>
      <c r="G64" s="197">
        <f>'Puma DCF'!H58</f>
        <v>1800.8140959999998</v>
      </c>
      <c r="H64" s="197">
        <f>'Puma DCF'!I58</f>
        <v>1854.8385188799998</v>
      </c>
      <c r="I64" s="197">
        <f>'Puma DCF'!J58</f>
        <v>1910.4836744463998</v>
      </c>
      <c r="J64" s="184" t="s">
        <v>308</v>
      </c>
    </row>
    <row r="65" spans="2:10">
      <c r="B65" s="186" t="s">
        <v>309</v>
      </c>
      <c r="C65" s="197">
        <f>'Puma DCF'!D59</f>
        <v>1152.9000000000001</v>
      </c>
      <c r="D65" s="197">
        <f>'Puma DCF'!E59</f>
        <v>1210.5450000000001</v>
      </c>
      <c r="E65" s="197">
        <f>'Puma DCF'!F59</f>
        <v>1271.0722500000002</v>
      </c>
      <c r="F65" s="197">
        <f>'Puma DCF'!G59</f>
        <v>1334.6258625</v>
      </c>
      <c r="G65" s="197">
        <f>'Puma DCF'!H59</f>
        <v>1401.3571556250001</v>
      </c>
      <c r="H65" s="197">
        <f>'Puma DCF'!I59</f>
        <v>1471.4250134062499</v>
      </c>
      <c r="I65" s="197">
        <f>'Puma DCF'!J59</f>
        <v>1544.9962640765627</v>
      </c>
      <c r="J65" s="184" t="s">
        <v>310</v>
      </c>
    </row>
    <row r="66" spans="2:10">
      <c r="B66" s="186" t="s">
        <v>311</v>
      </c>
      <c r="C66" s="197">
        <f>'Puma DCF'!D60</f>
        <v>-3000</v>
      </c>
      <c r="D66" s="197">
        <f>'Puma DCF'!E60</f>
        <v>-3000</v>
      </c>
      <c r="E66" s="197">
        <f>'Puma DCF'!F60</f>
        <v>-3000</v>
      </c>
      <c r="F66" s="197">
        <f>'Puma DCF'!G60</f>
        <v>-3000</v>
      </c>
      <c r="G66" s="197">
        <f>'Puma DCF'!H60</f>
        <v>-3000</v>
      </c>
      <c r="H66" s="197">
        <f>'Puma DCF'!I60</f>
        <v>3388.261611936</v>
      </c>
      <c r="I66" s="197">
        <f>'Puma DCF'!J60</f>
        <v>3388.261611936</v>
      </c>
      <c r="J66" s="184" t="s">
        <v>312</v>
      </c>
    </row>
    <row r="67" spans="2:10">
      <c r="B67" s="190" t="s">
        <v>313</v>
      </c>
      <c r="C67" s="189">
        <f>'Puma DCF'!D61</f>
        <v>26870.9</v>
      </c>
      <c r="D67" s="189">
        <f>'Puma DCF'!E61</f>
        <v>29433.445</v>
      </c>
      <c r="E67" s="189">
        <f>'Puma DCF'!F61</f>
        <v>32007.077250000002</v>
      </c>
      <c r="F67" s="189">
        <f>'Puma DCF'!G61</f>
        <v>34593.3399125</v>
      </c>
      <c r="G67" s="189">
        <f>'Puma DCF'!H61</f>
        <v>37193.882972125</v>
      </c>
      <c r="H67" s="189">
        <f>'Puma DCF'!I61</f>
        <v>33422.207854715249</v>
      </c>
      <c r="I67" s="189">
        <f>'Puma DCF'!J61</f>
        <v>29668.458832409411</v>
      </c>
      <c r="J67" s="184" t="s">
        <v>314</v>
      </c>
    </row>
    <row r="68" spans="2:10">
      <c r="B68" s="190" t="s">
        <v>315</v>
      </c>
      <c r="C68" s="205">
        <f>'Puma DCF'!D62</f>
        <v>1.6995604187090858</v>
      </c>
      <c r="D68" s="205">
        <f>'Puma DCF'!E62</f>
        <v>1.8074166025220428</v>
      </c>
      <c r="E68" s="205">
        <f>'Puma DCF'!F62</f>
        <v>1.908209106554382</v>
      </c>
      <c r="F68" s="205">
        <f>'Puma DCF'!G62</f>
        <v>2.0023279776157068</v>
      </c>
      <c r="G68" s="205">
        <f>'Puma DCF'!H62</f>
        <v>2.0901478942743719</v>
      </c>
      <c r="H68" s="205">
        <f>'Puma DCF'!I62</f>
        <v>1.4881996550886736</v>
      </c>
      <c r="I68" s="205">
        <f>'Puma DCF'!J62</f>
        <v>1.2894839768629169</v>
      </c>
      <c r="J68" s="184" t="s">
        <v>316</v>
      </c>
    </row>
    <row r="69" spans="2:10">
      <c r="B69" s="186" t="s">
        <v>233</v>
      </c>
      <c r="C69" s="206">
        <f>'Puma DCF'!D63</f>
        <v>1.75</v>
      </c>
      <c r="D69" s="206">
        <f>'Puma DCF'!E63</f>
        <v>1.75</v>
      </c>
      <c r="E69" s="206">
        <f>'Puma DCF'!F63</f>
        <v>1.75</v>
      </c>
      <c r="F69" s="206">
        <f>'Puma DCF'!G63</f>
        <v>1.75</v>
      </c>
      <c r="G69" s="206">
        <f>'Puma DCF'!H63</f>
        <v>1.75</v>
      </c>
      <c r="H69" s="206">
        <f>'Puma DCF'!I63</f>
        <v>1.75</v>
      </c>
      <c r="I69" s="206">
        <f>'Puma DCF'!J63</f>
        <v>1.75</v>
      </c>
      <c r="J69" s="184" t="s">
        <v>317</v>
      </c>
    </row>
    <row r="70" spans="2:10">
      <c r="B70" s="186" t="s">
        <v>318</v>
      </c>
      <c r="C70" s="197">
        <f>'Puma DCF'!D64</f>
        <v>797.47499999999854</v>
      </c>
      <c r="D70" s="197">
        <f>'Puma DCF'!E64</f>
        <v>-935.01875000000291</v>
      </c>
      <c r="E70" s="197">
        <f>'Puma DCF'!F64</f>
        <v>-2653.6982125000031</v>
      </c>
      <c r="F70" s="197">
        <f>'Puma DCF'!G64</f>
        <v>-4359.3595038749991</v>
      </c>
      <c r="G70" s="197">
        <f>'Puma DCF'!H64</f>
        <v>-6052.8831512412544</v>
      </c>
      <c r="H70" s="197">
        <f>'Puma DCF'!I64</f>
        <v>5879.5508479950149</v>
      </c>
      <c r="I70" s="197">
        <f>'Puma DCF'!J64</f>
        <v>10595.556764766156</v>
      </c>
      <c r="J70" s="184" t="s">
        <v>319</v>
      </c>
    </row>
    <row r="71" spans="2:10">
      <c r="B71" s="190" t="s">
        <v>320</v>
      </c>
      <c r="C71" s="193" t="str">
        <f>'Puma DCF'!D65</f>
        <v>PASS</v>
      </c>
      <c r="D71" s="193" t="str">
        <f>'Puma DCF'!E65</f>
        <v>BREACH</v>
      </c>
      <c r="E71" s="193" t="str">
        <f>'Puma DCF'!F65</f>
        <v>BREACH</v>
      </c>
      <c r="F71" s="193" t="str">
        <f>'Puma DCF'!G65</f>
        <v>BREACH</v>
      </c>
      <c r="G71" s="193" t="str">
        <f>'Puma DCF'!H65</f>
        <v>BREACH</v>
      </c>
      <c r="H71" s="193" t="str">
        <f>'Puma DCF'!I65</f>
        <v>PASS</v>
      </c>
      <c r="I71" s="193" t="str">
        <f>'Puma DCF'!J65</f>
        <v>PASS</v>
      </c>
      <c r="J71" s="184"/>
    </row>
    <row r="73" spans="2:10">
      <c r="B73" s="185" t="s">
        <v>321</v>
      </c>
      <c r="C73" s="185"/>
      <c r="D73" s="185"/>
      <c r="E73" s="185"/>
      <c r="F73" s="185"/>
      <c r="G73" s="185"/>
      <c r="H73" s="185"/>
      <c r="I73" s="185"/>
      <c r="J73" s="185"/>
    </row>
    <row r="74" spans="2:10">
      <c r="B74" s="186" t="str">
        <f>"Puma's "&amp;TEXT(Summary!E7,"0")&amp;" MBOED is real, but it starts in "&amp;Summary!E6&amp;". The test applies every year from 2027, and Puma is over the ceiling in "&amp;Summary!E17&amp;"."</f>
        <v>Puma's 300 MBOED is real, but it starts in 2032. The test applies every year from 2027, and Puma is over the ceiling in 2028.</v>
      </c>
    </row>
    <row r="75" spans="2:10">
      <c r="B75" s="186" t="str">
        <f>"At the worst point NorthStar would carry "&amp;TEXT(-Summary!E18/1000,"0.0")&amp;"B more net debt than the ceiling allows. Bison's tightest year still has "&amp;TEXT(Summary!C18/1000,"0.0")&amp;"B of room and Fennec's has "&amp;TEXT(Summary!D18/1000,"0.0")&amp;"B."</f>
        <v>At the worst point NorthStar would carry 6.1B more net debt than the ceiling allows. Bison's tightest year still has 1.8B of room and Fennec's has 1.3B.</v>
      </c>
    </row>
    <row r="76" spans="2:10">
      <c r="B76" s="190" t="str">
        <f>"Result: "&amp;Summary!E21&amp;". Bison ("&amp;Summary!C21&amp;", peak "&amp;TEXT(Summary!C14,"0.00")&amp;"x) and Fennec ("&amp;Summary!D21&amp;", peak "&amp;TEXT(Summary!D14,"0.00")&amp;"x) both clear it, so the choice is between them."</f>
        <v>Result: DISQUALIFIED. Bison (ADMISSIBLE, peak 1.64x) and Fennec (ADMISSIBLE, peak 1.67x) both clear it, so the choice is between them.</v>
      </c>
    </row>
    <row r="78" spans="2:10">
      <c r="B78" s="184" t="s">
        <v>322</v>
      </c>
    </row>
  </sheetData>
  <conditionalFormatting sqref="C13:C16">
    <cfRule type="expression" dxfId="26" priority="2">
      <formula>OR(C13="FAIL",C13="DISQUALIFIED")</formula>
    </cfRule>
    <cfRule type="expression" dxfId="25" priority="3">
      <formula>OR(C13="PASS",C13="ADMISSIBLE")</formula>
    </cfRule>
  </conditionalFormatting>
  <conditionalFormatting sqref="C52:G52">
    <cfRule type="cellIs" dxfId="24" priority="4" operator="lessThan">
      <formula>0</formula>
    </cfRule>
  </conditionalFormatting>
  <conditionalFormatting sqref="C53:G53">
    <cfRule type="cellIs" dxfId="23" priority="5" operator="lessThan">
      <formula>1</formula>
    </cfRule>
  </conditionalFormatting>
  <conditionalFormatting sqref="C68:I68">
    <cfRule type="expression" dxfId="22" priority="6">
      <formula>C68&gt;C69</formula>
    </cfRule>
  </conditionalFormatting>
  <conditionalFormatting sqref="C70:I70">
    <cfRule type="cellIs" dxfId="21" priority="7" operator="lessThan">
      <formula>0</formula>
    </cfRule>
  </conditionalFormatting>
  <conditionalFormatting sqref="C71:I71">
    <cfRule type="cellIs" dxfId="20" priority="8" operator="equal">
      <formula>"BREACH"</formula>
    </cfRule>
    <cfRule type="cellIs" dxfId="19" priority="9" operator="equal">
      <formula>"PASS"</formula>
    </cfRule>
  </conditionalFormatting>
  <pageMargins left="0.75" right="0.75" top="1" bottom="1" header="0.511811023622047" footer="0.511811023622047"/>
  <pageSetup fitToHeight="0" orientation="landscape"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00000"/>
    <pageSetUpPr fitToPage="1"/>
  </sheetPr>
  <dimension ref="B1:M79"/>
  <sheetViews>
    <sheetView showGridLines="0" topLeftCell="A4" zoomScaleNormal="100" workbookViewId="0">
      <selection activeCell="E21" sqref="E21"/>
    </sheetView>
  </sheetViews>
  <sheetFormatPr defaultColWidth="8.42578125" defaultRowHeight="15"/>
  <cols>
    <col min="1" max="1" width="2" customWidth="1"/>
    <col min="2" max="2" width="62" customWidth="1"/>
    <col min="3" max="5" width="18" customWidth="1"/>
    <col min="6" max="13" width="12" customWidth="1"/>
  </cols>
  <sheetData>
    <row r="1" spans="2:6" ht="18">
      <c r="B1" s="183" t="s">
        <v>323</v>
      </c>
    </row>
    <row r="2" spans="2:6">
      <c r="B2" s="184" t="s">
        <v>324</v>
      </c>
    </row>
    <row r="4" spans="2:6">
      <c r="B4" s="207" t="s">
        <v>325</v>
      </c>
      <c r="C4" s="208" t="s">
        <v>155</v>
      </c>
      <c r="D4" s="208" t="s">
        <v>158</v>
      </c>
      <c r="E4" s="208" t="s">
        <v>159</v>
      </c>
      <c r="F4" s="207" t="s">
        <v>326</v>
      </c>
    </row>
    <row r="5" spans="2:6">
      <c r="B5" s="186" t="s">
        <v>327</v>
      </c>
      <c r="C5" s="209">
        <f>'Bison DCF'!D4/1000</f>
        <v>2</v>
      </c>
      <c r="D5" s="209">
        <f>'Fennec DCF'!D4/1000</f>
        <v>5</v>
      </c>
      <c r="E5" s="209">
        <f>'Puma DCF'!D4/1000</f>
        <v>15</v>
      </c>
    </row>
    <row r="6" spans="2:6">
      <c r="B6" s="186" t="s">
        <v>328</v>
      </c>
      <c r="C6" s="188">
        <f>2027+'Bison DCF'!D11</f>
        <v>2028</v>
      </c>
      <c r="D6" s="188">
        <f>2027+'Fennec DCF'!D11</f>
        <v>2030</v>
      </c>
      <c r="E6" s="188">
        <f>2027+'Puma DCF'!D11</f>
        <v>2032</v>
      </c>
      <c r="F6" s="184" t="s">
        <v>329</v>
      </c>
    </row>
    <row r="7" spans="2:6">
      <c r="B7" s="210" t="s">
        <v>330</v>
      </c>
      <c r="C7" s="211">
        <f>MAX('Bison DCF'!D17:N17)</f>
        <v>75</v>
      </c>
      <c r="D7" s="211">
        <f>MAX('Fennec DCF'!D17:U17)</f>
        <v>150</v>
      </c>
      <c r="E7" s="211">
        <f>MAX('Puma DCF'!D17:AG17)</f>
        <v>300</v>
      </c>
      <c r="F7" s="184" t="s">
        <v>331</v>
      </c>
    </row>
    <row r="8" spans="2:6">
      <c r="B8" s="186" t="s">
        <v>332</v>
      </c>
      <c r="C8" s="197">
        <f>SUM('Bison DCF'!D18:N18)</f>
        <v>273.02</v>
      </c>
      <c r="D8" s="197">
        <f>SUM('Fennec DCF'!D18:U18)</f>
        <v>568.61889999999994</v>
      </c>
      <c r="E8" s="197">
        <f>SUM('Puma DCF'!D18:AG18)</f>
        <v>2595.7720324460006</v>
      </c>
    </row>
    <row r="9" spans="2:6">
      <c r="B9" s="186" t="s">
        <v>284</v>
      </c>
      <c r="C9" s="199">
        <f>'Bison DCF'!D14</f>
        <v>8.6390682371368502E-2</v>
      </c>
      <c r="D9" s="199">
        <f>'Fennec DCF'!D14</f>
        <v>0.12596170748395533</v>
      </c>
      <c r="E9" s="199">
        <f>'Puma DCF'!D14</f>
        <v>0.10617619492766191</v>
      </c>
      <c r="F9" s="184" t="s">
        <v>333</v>
      </c>
    </row>
    <row r="10" spans="2:6">
      <c r="B10" s="190" t="s">
        <v>334</v>
      </c>
      <c r="C10" s="189">
        <f>'Bison DCF'!D47</f>
        <v>1074.1462284532063</v>
      </c>
      <c r="D10" s="189">
        <f>'Fennec DCF'!D47</f>
        <v>1419.3544716545621</v>
      </c>
      <c r="E10" s="189">
        <f>'Puma DCF'!D47</f>
        <v>5615.3516617871674</v>
      </c>
      <c r="F10" s="184" t="s">
        <v>335</v>
      </c>
    </row>
    <row r="11" spans="2:6">
      <c r="B11" s="190" t="s">
        <v>282</v>
      </c>
      <c r="C11" s="200">
        <f>'Bison DCF'!D48</f>
        <v>0.2132451869962817</v>
      </c>
      <c r="D11" s="200">
        <f>'Fennec DCF'!D48</f>
        <v>0.19021177123834732</v>
      </c>
      <c r="E11" s="200">
        <f>'Puma DCF'!D48</f>
        <v>0.15492590993666888</v>
      </c>
      <c r="F11" s="184" t="s">
        <v>336</v>
      </c>
    </row>
    <row r="12" spans="2:6">
      <c r="B12" s="186" t="s">
        <v>337</v>
      </c>
      <c r="C12" s="199">
        <f>'Bison DCF'!D50</f>
        <v>0.12685450462491321</v>
      </c>
      <c r="D12" s="199">
        <f>'Fennec DCF'!D50</f>
        <v>6.4250063754391989E-2</v>
      </c>
      <c r="E12" s="199">
        <f>'Puma DCF'!D50</f>
        <v>4.8749715009006975E-2</v>
      </c>
    </row>
    <row r="13" spans="2:6">
      <c r="B13" s="186" t="s">
        <v>338</v>
      </c>
      <c r="C13" s="197">
        <f>'Bison DCF'!D51</f>
        <v>1270.9021157821978</v>
      </c>
      <c r="D13" s="197">
        <f>'Fennec DCF'!D51</f>
        <v>1719.5166148182846</v>
      </c>
      <c r="E13" s="197">
        <f>'Puma DCF'!D51</f>
        <v>5951.519983076696</v>
      </c>
      <c r="F13" s="184" t="s">
        <v>339</v>
      </c>
    </row>
    <row r="14" spans="2:6">
      <c r="B14" s="190" t="s">
        <v>340</v>
      </c>
      <c r="C14" s="205">
        <f>MAX('Bison DCF'!D62:N62)</f>
        <v>1.6363113121027166</v>
      </c>
      <c r="D14" s="205">
        <f>MAX('Fennec DCF'!D62:U62)</f>
        <v>1.6697357099802692</v>
      </c>
      <c r="E14" s="205">
        <f>MAX('Puma DCF'!D62:AG62)</f>
        <v>2.0901478942743719</v>
      </c>
    </row>
    <row r="15" spans="2:6">
      <c r="B15" s="186" t="s">
        <v>341</v>
      </c>
      <c r="C15" s="188">
        <f>INDEX('Bison DCF'!D16:N16,MATCH(MAX('Bison DCF'!D62:N62),'Bison DCF'!D62:N62,0))</f>
        <v>2027</v>
      </c>
      <c r="D15" s="188">
        <f>INDEX('Fennec DCF'!D16:U16,MATCH(MAX('Fennec DCF'!D62:U62),'Fennec DCF'!D62:U62,0))</f>
        <v>2029</v>
      </c>
      <c r="E15" s="188">
        <f>INDEX('Puma DCF'!D16:AG16,MATCH(MAX('Puma DCF'!D62:AG62),'Puma DCF'!D62:AG62,0))</f>
        <v>2031</v>
      </c>
    </row>
    <row r="16" spans="2:6">
      <c r="B16" s="190" t="s">
        <v>342</v>
      </c>
      <c r="C16" s="187">
        <f>COUNTIF('Bison DCF'!D65:N65,"BREACH")</f>
        <v>0</v>
      </c>
      <c r="D16" s="187">
        <f>COUNTIF('Fennec DCF'!D65:U65,"BREACH")</f>
        <v>0</v>
      </c>
      <c r="E16" s="187">
        <f>COUNTIF('Puma DCF'!D65:AG65,"BREACH")</f>
        <v>4</v>
      </c>
    </row>
    <row r="17" spans="2:6">
      <c r="B17" s="186" t="s">
        <v>343</v>
      </c>
      <c r="C17" s="188" t="str">
        <f>IFERROR(INDEX('Bison DCF'!D16:N16,MATCH("BREACH",'Bison DCF'!D65:N65,0)),"none")</f>
        <v>none</v>
      </c>
      <c r="D17" s="188" t="str">
        <f>IFERROR(INDEX('Fennec DCF'!D16:U16,MATCH("BREACH",'Fennec DCF'!D65:U65,0)),"none")</f>
        <v>none</v>
      </c>
      <c r="E17" s="188">
        <f>IFERROR(INDEX('Puma DCF'!D16:AG16,MATCH("BREACH",'Puma DCF'!D65:AG65,0)),"none")</f>
        <v>2028</v>
      </c>
    </row>
    <row r="18" spans="2:6">
      <c r="B18" s="186" t="s">
        <v>344</v>
      </c>
      <c r="C18" s="197">
        <f>MIN('Bison DCF'!D64:N64)</f>
        <v>1797.4749999999985</v>
      </c>
      <c r="D18" s="197">
        <f>MIN('Fennec DCF'!D64:U64)</f>
        <v>1346.3017874999896</v>
      </c>
      <c r="E18" s="197">
        <f>MIN('Puma DCF'!D64:AG64)</f>
        <v>-6052.8831512412544</v>
      </c>
      <c r="F18" s="184" t="s">
        <v>345</v>
      </c>
    </row>
    <row r="19" spans="2:6">
      <c r="B19" s="190" t="s">
        <v>346</v>
      </c>
      <c r="C19" s="193" t="str">
        <f>IF(C16=0,"PASS","FAIL")</f>
        <v>PASS</v>
      </c>
      <c r="D19" s="193" t="str">
        <f>IF(D16=0,"PASS","FAIL")</f>
        <v>PASS</v>
      </c>
      <c r="E19" s="193" t="str">
        <f>IF(E16=0,"PASS","FAIL")</f>
        <v>FAIL</v>
      </c>
    </row>
    <row r="20" spans="2:6">
      <c r="B20" s="190" t="s">
        <v>347</v>
      </c>
      <c r="C20" s="193" t="str">
        <f>IF(C19="PASS","PASS","FAIL")</f>
        <v>PASS</v>
      </c>
      <c r="D20" s="193" t="str">
        <f>IF(D19="PASS","PASS","FAIL")</f>
        <v>PASS</v>
      </c>
      <c r="E20" s="193" t="str">
        <f>IF(E19="PASS","PASS","FAIL")</f>
        <v>FAIL</v>
      </c>
      <c r="F20" s="184" t="s">
        <v>348</v>
      </c>
    </row>
    <row r="21" spans="2:6">
      <c r="B21" s="190" t="s">
        <v>349</v>
      </c>
      <c r="C21" s="193" t="str">
        <f>IF(AND(C19="PASS",C20="PASS"),"ADMISSIBLE","DISQUALIFIED")</f>
        <v>ADMISSIBLE</v>
      </c>
      <c r="D21" s="193" t="str">
        <f>IF(AND(D19="PASS",D20="PASS"),"ADMISSIBLE","DISQUALIFIED")</f>
        <v>ADMISSIBLE</v>
      </c>
      <c r="E21" s="193" t="str">
        <f>IF(AND(E19="PASS",E20="PASS"),"ADMISSIBLE","DISQUALIFIED")</f>
        <v>DISQUALIFIED</v>
      </c>
      <c r="F21" s="184" t="s">
        <v>350</v>
      </c>
    </row>
    <row r="23" spans="2:6">
      <c r="B23" s="185" t="s">
        <v>351</v>
      </c>
      <c r="C23" s="185"/>
      <c r="D23" s="185"/>
      <c r="E23" s="185"/>
      <c r="F23" s="185"/>
    </row>
    <row r="24" spans="2:6">
      <c r="B24" s="191" t="s">
        <v>352</v>
      </c>
      <c r="C24" s="191" t="s">
        <v>353</v>
      </c>
      <c r="D24" s="191" t="s">
        <v>354</v>
      </c>
      <c r="E24" s="192"/>
      <c r="F24" s="192"/>
    </row>
    <row r="25" spans="2:6">
      <c r="B25" s="186" t="s">
        <v>355</v>
      </c>
      <c r="C25" s="212" t="s">
        <v>356</v>
      </c>
      <c r="D25" s="184" t="s">
        <v>357</v>
      </c>
    </row>
    <row r="26" spans="2:6">
      <c r="B26" s="186" t="s">
        <v>358</v>
      </c>
      <c r="C26" s="212" t="s">
        <v>356</v>
      </c>
      <c r="D26" s="184" t="s">
        <v>359</v>
      </c>
    </row>
    <row r="27" spans="2:6">
      <c r="B27" s="186" t="s">
        <v>360</v>
      </c>
      <c r="C27" s="193" t="s">
        <v>361</v>
      </c>
      <c r="D27" s="184" t="s">
        <v>362</v>
      </c>
    </row>
    <row r="28" spans="2:6">
      <c r="B28" s="186" t="s">
        <v>363</v>
      </c>
      <c r="C28" s="193" t="s">
        <v>364</v>
      </c>
      <c r="D28" s="184" t="s">
        <v>365</v>
      </c>
    </row>
    <row r="29" spans="2:6">
      <c r="B29" s="210" t="s">
        <v>366</v>
      </c>
      <c r="C29" s="213" t="s">
        <v>367</v>
      </c>
      <c r="D29" s="214" t="s">
        <v>368</v>
      </c>
      <c r="E29" s="215"/>
      <c r="F29" s="215"/>
    </row>
    <row r="31" spans="2:6">
      <c r="B31" s="191" t="s">
        <v>369</v>
      </c>
      <c r="C31" s="198" t="s">
        <v>370</v>
      </c>
      <c r="D31" s="192"/>
      <c r="E31" s="192"/>
      <c r="F31" s="192"/>
    </row>
    <row r="32" spans="2:6">
      <c r="B32" s="186" t="s">
        <v>371</v>
      </c>
      <c r="C32" s="216">
        <v>0.45</v>
      </c>
      <c r="D32" s="184" t="s">
        <v>372</v>
      </c>
    </row>
    <row r="33" spans="2:13">
      <c r="B33" s="186" t="s">
        <v>373</v>
      </c>
      <c r="C33" s="216">
        <v>0.25</v>
      </c>
    </row>
    <row r="34" spans="2:13">
      <c r="B34" s="186" t="s">
        <v>374</v>
      </c>
      <c r="C34" s="216">
        <v>0.15</v>
      </c>
    </row>
    <row r="35" spans="2:13">
      <c r="B35" s="186" t="s">
        <v>375</v>
      </c>
      <c r="C35" s="216">
        <v>0.1</v>
      </c>
    </row>
    <row r="36" spans="2:13">
      <c r="B36" s="217" t="s">
        <v>376</v>
      </c>
      <c r="C36" s="218">
        <v>0.05</v>
      </c>
      <c r="D36" s="184" t="s">
        <v>377</v>
      </c>
    </row>
    <row r="38" spans="2:13">
      <c r="B38" s="185" t="s">
        <v>378</v>
      </c>
      <c r="C38" s="185"/>
      <c r="D38" s="185"/>
      <c r="E38" s="185"/>
      <c r="F38" s="185"/>
    </row>
    <row r="39" spans="2:13">
      <c r="B39" s="186" t="str">
        <f>"1. Puma spends $"&amp;TEXT(E5,"0")&amp;"B over "&amp;'Puma DCF'!D11&amp;" years and earns nothing until "&amp;E6&amp;". Bison spends $"&amp;TEXT(C5,"0")&amp;"B and starts earning in "&amp;C6&amp;"."</f>
        <v>1. Puma spends $15B over 5 years and earns nothing until 2032. Bison spends $2B and starts earning in 2028.</v>
      </c>
    </row>
    <row r="40" spans="2:13">
      <c r="B40" s="186" t="str">
        <f>"2. Net debt/EBITDA climbs to "&amp;TEXT(E14,"0.00")&amp;"x in "&amp;E15&amp;" against a "&amp;TEXT('WACC &amp; Inputs'!C9,"0.00")&amp;"x ceiling and is above it for "&amp;E16&amp;" years (first in "&amp;E17&amp;")."</f>
        <v>2. Net debt/EBITDA climbs to 2.09x in 2031 against a 1.75x ceiling and is above it for 4 years (first in 2028).</v>
      </c>
    </row>
    <row r="41" spans="2:13">
      <c r="B41" s="186" t="str">
        <f>"3. At the worst point NorthStar would carry $"&amp;TEXT(-E18/1000,"0.0")&amp;"B more net debt than the ceiling allows. Bison's tightest year still has $"&amp;TEXT(C18/1000,"0.0")&amp;"B of room; Fennec's has $"&amp;TEXT(D18/1000,"0.0")&amp;"B."</f>
        <v>3. At the worst point NorthStar would carry $6.1B more net debt than the ceiling allows. Bison's tightest year still has $1.8B of room; Fennec's has $1.3B.</v>
      </c>
    </row>
    <row r="42" spans="2:13">
      <c r="B42" s="186" t="str">
        <f>"4. Puma has the biggest NPV ($"&amp;TEXT(E10/1000,"0.0")&amp;"B) but the lowest IRR ("&amp;TEXT(E11,"0.0%")&amp;" vs Bison "&amp;TEXT(C11,"0.0%")&amp;"): the value comes from size and "&amp;'Puma DCF'!D9&amp;" years of production, not from returns on capital."</f>
        <v>4. Puma has the biggest NPV ($5.6B) but the lowest IRR (15.5% vs Bison 21.3%): the value comes from size and 25 years of production, not from returns on capital.</v>
      </c>
    </row>
    <row r="43" spans="2:13">
      <c r="B43" s="186" t="str">
        <f>"5. Size does not rescue it: Puma's "&amp;TEXT(E7,"0")&amp;" MBOED peak is "&amp;TEXT(E7/C7,"0.0")&amp;"x Bison's, but the case weights production growth at 5% and treats leverage as a hard disqualifier."</f>
        <v>5. Size does not rescue it: Puma's 300 MBOED peak is 4.0x Bison's, but the case weights production growth at 5% and treats leverage as a hard disqualifier.</v>
      </c>
    </row>
    <row r="44" spans="2:13">
      <c r="B44" s="186" t="s">
        <v>379</v>
      </c>
    </row>
    <row r="46" spans="2:13">
      <c r="B46" s="185" t="s">
        <v>380</v>
      </c>
      <c r="C46" s="185"/>
      <c r="D46" s="185"/>
      <c r="E46" s="185"/>
      <c r="F46" s="185"/>
      <c r="G46" s="185"/>
      <c r="H46" s="185"/>
      <c r="I46" s="185"/>
      <c r="J46" s="185"/>
      <c r="K46" s="185"/>
      <c r="L46" s="185"/>
      <c r="M46" s="185"/>
    </row>
    <row r="47" spans="2:13">
      <c r="B47" s="191" t="s">
        <v>223</v>
      </c>
      <c r="C47" s="201">
        <f>'Bison DCF'!D16</f>
        <v>2027</v>
      </c>
      <c r="D47" s="201">
        <f>'Bison DCF'!E16</f>
        <v>2028</v>
      </c>
      <c r="E47" s="201">
        <f>'Bison DCF'!F16</f>
        <v>2029</v>
      </c>
      <c r="F47" s="201">
        <f>'Bison DCF'!G16</f>
        <v>2030</v>
      </c>
      <c r="G47" s="201">
        <f>'Bison DCF'!H16</f>
        <v>2031</v>
      </c>
      <c r="H47" s="201">
        <f>'Bison DCF'!I16</f>
        <v>2032</v>
      </c>
      <c r="I47" s="201">
        <f>'Bison DCF'!J16</f>
        <v>2033</v>
      </c>
      <c r="J47" s="201">
        <f>'Bison DCF'!K16</f>
        <v>2034</v>
      </c>
      <c r="K47" s="201">
        <f>'Bison DCF'!L16</f>
        <v>2035</v>
      </c>
      <c r="L47" s="201">
        <f>'Bison DCF'!M16</f>
        <v>2036</v>
      </c>
      <c r="M47" s="201">
        <f>'Bison DCF'!N16</f>
        <v>2037</v>
      </c>
    </row>
    <row r="48" spans="2:13">
      <c r="B48" s="190" t="s">
        <v>381</v>
      </c>
      <c r="C48" s="206">
        <f>'Bison DCF'!D62</f>
        <v>1.6363113121027166</v>
      </c>
      <c r="D48" s="206">
        <f>'Bison DCF'!E62</f>
        <v>1.4649146691552244</v>
      </c>
      <c r="E48" s="206">
        <f>'Bison DCF'!F62</f>
        <v>1.3721363384905445</v>
      </c>
      <c r="F48" s="206">
        <f>'Bison DCF'!G62</f>
        <v>1.2808396706133183</v>
      </c>
      <c r="G48" s="206">
        <f>'Bison DCF'!H62</f>
        <v>1.1946413223168335</v>
      </c>
      <c r="H48" s="206">
        <f>'Bison DCF'!I62</f>
        <v>1.1131410314997412</v>
      </c>
      <c r="I48" s="206">
        <f>'Bison DCF'!J62</f>
        <v>1.0364765203445474</v>
      </c>
      <c r="J48" s="206">
        <f>'Bison DCF'!K62</f>
        <v>0.96447541118252955</v>
      </c>
      <c r="K48" s="206">
        <f>'Bison DCF'!L62</f>
        <v>0.89733727631146831</v>
      </c>
      <c r="L48" s="206">
        <f>'Bison DCF'!M62</f>
        <v>0.83461051105139894</v>
      </c>
      <c r="M48" s="206">
        <f>'Bison DCF'!N62</f>
        <v>0.78566397753439399</v>
      </c>
    </row>
    <row r="49" spans="2:13">
      <c r="B49" s="190" t="s">
        <v>382</v>
      </c>
      <c r="C49" s="206">
        <f>'Fennec DCF'!D62</f>
        <v>1.6152282765672603</v>
      </c>
      <c r="D49" s="206">
        <f>'Fennec DCF'!E62</f>
        <v>1.6436648702078189</v>
      </c>
      <c r="E49" s="206">
        <f>'Fennec DCF'!F62</f>
        <v>1.6697357099802692</v>
      </c>
      <c r="F49" s="206">
        <f>'Fennec DCF'!G62</f>
        <v>1.3683290982117977</v>
      </c>
      <c r="G49" s="206">
        <f>'Fennec DCF'!H62</f>
        <v>1.2362639949866754</v>
      </c>
      <c r="H49" s="206">
        <f>'Fennec DCF'!I62</f>
        <v>1.111107789853375</v>
      </c>
      <c r="I49" s="206">
        <f>'Fennec DCF'!J62</f>
        <v>0.99268231441124621</v>
      </c>
      <c r="J49" s="206">
        <f>'Fennec DCF'!K62</f>
        <v>0.88081301402706047</v>
      </c>
      <c r="K49" s="206">
        <f>'Fennec DCF'!L62</f>
        <v>0.77532903475426274</v>
      </c>
      <c r="L49" s="206">
        <f>'Fennec DCF'!M62</f>
        <v>0.67606329857464809</v>
      </c>
      <c r="M49" s="206">
        <f>'Fennec DCF'!N62</f>
        <v>0.6190901742839372</v>
      </c>
    </row>
    <row r="50" spans="2:13">
      <c r="B50" s="190" t="s">
        <v>383</v>
      </c>
      <c r="C50" s="206">
        <f>'Puma DCF'!D62</f>
        <v>1.6995604187090858</v>
      </c>
      <c r="D50" s="206">
        <f>'Puma DCF'!E62</f>
        <v>1.8074166025220428</v>
      </c>
      <c r="E50" s="206">
        <f>'Puma DCF'!F62</f>
        <v>1.908209106554382</v>
      </c>
      <c r="F50" s="206">
        <f>'Puma DCF'!G62</f>
        <v>2.0023279776157068</v>
      </c>
      <c r="G50" s="206">
        <f>'Puma DCF'!H62</f>
        <v>2.0901478942743719</v>
      </c>
      <c r="H50" s="206">
        <f>'Puma DCF'!I62</f>
        <v>1.4881996550886736</v>
      </c>
      <c r="I50" s="206">
        <f>'Puma DCF'!J62</f>
        <v>1.2894839768629169</v>
      </c>
      <c r="J50" s="206">
        <f>'Puma DCF'!K62</f>
        <v>1.10012058447828</v>
      </c>
      <c r="K50" s="206">
        <f>'Puma DCF'!L62</f>
        <v>0.91990948555181506</v>
      </c>
      <c r="L50" s="206">
        <f>'Puma DCF'!M62</f>
        <v>0.74865162684042341</v>
      </c>
      <c r="M50" s="206">
        <f>'Puma DCF'!N62</f>
        <v>0.58614915755005315</v>
      </c>
    </row>
    <row r="51" spans="2:13">
      <c r="B51" s="190" t="s">
        <v>233</v>
      </c>
      <c r="C51" s="219">
        <f>'WACC &amp; Inputs'!$C$9</f>
        <v>1.75</v>
      </c>
      <c r="D51" s="219">
        <f>'WACC &amp; Inputs'!$C$9</f>
        <v>1.75</v>
      </c>
      <c r="E51" s="219">
        <f>'WACC &amp; Inputs'!$C$9</f>
        <v>1.75</v>
      </c>
      <c r="F51" s="219">
        <f>'WACC &amp; Inputs'!$C$9</f>
        <v>1.75</v>
      </c>
      <c r="G51" s="219">
        <f>'WACC &amp; Inputs'!$C$9</f>
        <v>1.75</v>
      </c>
      <c r="H51" s="219">
        <f>'WACC &amp; Inputs'!$C$9</f>
        <v>1.75</v>
      </c>
      <c r="I51" s="219">
        <f>'WACC &amp; Inputs'!$C$9</f>
        <v>1.75</v>
      </c>
      <c r="J51" s="219">
        <f>'WACC &amp; Inputs'!$C$9</f>
        <v>1.75</v>
      </c>
      <c r="K51" s="219">
        <f>'WACC &amp; Inputs'!$C$9</f>
        <v>1.75</v>
      </c>
      <c r="L51" s="219">
        <f>'WACC &amp; Inputs'!$C$9</f>
        <v>1.75</v>
      </c>
      <c r="M51" s="219">
        <f>'WACC &amp; Inputs'!$C$9</f>
        <v>1.75</v>
      </c>
    </row>
    <row r="52" spans="2:13">
      <c r="B52" s="190" t="s">
        <v>384</v>
      </c>
      <c r="C52" s="197">
        <f>'Puma DCF'!D64</f>
        <v>797.47499999999854</v>
      </c>
      <c r="D52" s="197">
        <f>'Puma DCF'!E64</f>
        <v>-935.01875000000291</v>
      </c>
      <c r="E52" s="197">
        <f>'Puma DCF'!F64</f>
        <v>-2653.6982125000031</v>
      </c>
      <c r="F52" s="197">
        <f>'Puma DCF'!G64</f>
        <v>-4359.3595038749991</v>
      </c>
      <c r="G52" s="197">
        <f>'Puma DCF'!H64</f>
        <v>-6052.8831512412544</v>
      </c>
      <c r="H52" s="197">
        <f>'Puma DCF'!I64</f>
        <v>5879.5508479950149</v>
      </c>
      <c r="I52" s="197">
        <f>'Puma DCF'!J64</f>
        <v>10595.556764766156</v>
      </c>
      <c r="J52" s="197">
        <f>'Puma DCF'!K64</f>
        <v>15320.495085400828</v>
      </c>
      <c r="K52" s="197">
        <f>'Puma DCF'!L64</f>
        <v>20053.088785750842</v>
      </c>
      <c r="L52" s="197">
        <f>'Puma DCF'!M64</f>
        <v>24791.945281130389</v>
      </c>
      <c r="M52" s="197">
        <f>'Puma DCF'!N64</f>
        <v>29535.549097009214</v>
      </c>
    </row>
    <row r="72" spans="2:6">
      <c r="B72" s="185" t="s">
        <v>385</v>
      </c>
      <c r="C72" s="185"/>
      <c r="D72" s="185"/>
      <c r="E72" s="185"/>
      <c r="F72" s="185"/>
    </row>
    <row r="73" spans="2:6">
      <c r="B73" s="184" t="s">
        <v>386</v>
      </c>
    </row>
    <row r="74" spans="2:6">
      <c r="B74" s="184" t="s">
        <v>387</v>
      </c>
    </row>
    <row r="75" spans="2:6">
      <c r="B75" s="184" t="s">
        <v>388</v>
      </c>
    </row>
    <row r="76" spans="2:6">
      <c r="B76" s="184" t="s">
        <v>389</v>
      </c>
    </row>
    <row r="77" spans="2:6">
      <c r="B77" s="184" t="s">
        <v>390</v>
      </c>
    </row>
    <row r="78" spans="2:6">
      <c r="B78" s="184" t="s">
        <v>391</v>
      </c>
    </row>
    <row r="79" spans="2:6">
      <c r="B79" s="184" t="s">
        <v>392</v>
      </c>
    </row>
  </sheetData>
  <conditionalFormatting sqref="C16:E16">
    <cfRule type="cellIs" dxfId="18" priority="10" operator="greaterThan">
      <formula>0</formula>
    </cfRule>
  </conditionalFormatting>
  <conditionalFormatting sqref="C18:E18">
    <cfRule type="cellIs" dxfId="17" priority="9" operator="lessThan">
      <formula>0</formula>
    </cfRule>
  </conditionalFormatting>
  <conditionalFormatting sqref="C19:E21">
    <cfRule type="expression" dxfId="16" priority="2">
      <formula>OR(C19="FAIL",C19="DISQUALIFIED")</formula>
    </cfRule>
    <cfRule type="expression" dxfId="15" priority="3">
      <formula>OR(C19="PASS",C19="ADMISSIBLE")</formula>
    </cfRule>
  </conditionalFormatting>
  <conditionalFormatting sqref="C48:M50">
    <cfRule type="expression" dxfId="14" priority="11">
      <formula>C48&gt;C$51</formula>
    </cfRule>
  </conditionalFormatting>
  <conditionalFormatting sqref="C52:M52">
    <cfRule type="cellIs" dxfId="13" priority="12" operator="lessThan">
      <formula>0</formula>
    </cfRule>
  </conditionalFormatting>
  <pageMargins left="0.75" right="0.75" top="1" bottom="1" header="0.511811023622047" footer="0.511811023622047"/>
  <pageSetup fitToHeight="0" orientation="landscape" horizontalDpi="300" verticalDpi="300"/>
  <drawing r:id="rId1"/>
  <extLst>
    <ext xmlns:x14="http://schemas.microsoft.com/office/spreadsheetml/2009/9/main" uri="{78C0D931-6437-407d-A8EE-F0AAD7539E65}">
      <x14:conditionalFormattings>
        <x14:conditionalFormatting xmlns:xm="http://schemas.microsoft.com/office/excel/2006/main">
          <x14:cfRule type="expression" priority="8" id="{00000000-000E-0000-0E00-000008000000}">
            <xm:f>C14&gt;'WACC &amp; Inputs'!$C$9</xm:f>
            <x14:dxf>
              <font>
                <b/>
                <sz val="10"/>
                <color rgb="FFC00000"/>
                <name val="Arial"/>
                <charset val="1"/>
              </font>
              <fill>
                <patternFill>
                  <bgColor rgb="FFF8CBAD"/>
                </patternFill>
              </fill>
            </x14:dxf>
          </x14:cfRule>
          <xm:sqref>C14:E14</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B1:I50"/>
  <sheetViews>
    <sheetView showGridLines="0" topLeftCell="B8" zoomScaleNormal="100" workbookViewId="0">
      <selection activeCell="C5" sqref="C5"/>
    </sheetView>
  </sheetViews>
  <sheetFormatPr defaultColWidth="8.42578125" defaultRowHeight="15"/>
  <cols>
    <col min="1" max="1" width="2" customWidth="1"/>
    <col min="2" max="2" width="48" customWidth="1"/>
    <col min="3" max="8" width="17" customWidth="1"/>
    <col min="9" max="9" width="60" customWidth="1"/>
  </cols>
  <sheetData>
    <row r="1" spans="2:9" ht="18">
      <c r="B1" s="183" t="s">
        <v>393</v>
      </c>
    </row>
    <row r="2" spans="2:9">
      <c r="B2" s="184" t="s">
        <v>394</v>
      </c>
    </row>
    <row r="4" spans="2:9">
      <c r="B4" s="185" t="s">
        <v>395</v>
      </c>
      <c r="C4" s="185"/>
      <c r="D4" s="185"/>
      <c r="E4" s="185"/>
    </row>
    <row r="5" spans="2:9">
      <c r="B5" s="186" t="s">
        <v>396</v>
      </c>
      <c r="C5" s="220">
        <v>75</v>
      </c>
      <c r="D5" s="184" t="s">
        <v>397</v>
      </c>
    </row>
    <row r="6" spans="2:9">
      <c r="B6" s="186" t="s">
        <v>398</v>
      </c>
      <c r="C6" s="221">
        <v>6</v>
      </c>
      <c r="D6" s="184" t="s">
        <v>399</v>
      </c>
    </row>
    <row r="7" spans="2:9">
      <c r="B7" s="186" t="s">
        <v>400</v>
      </c>
      <c r="C7" s="222">
        <v>1.028</v>
      </c>
      <c r="D7" s="184" t="s">
        <v>401</v>
      </c>
    </row>
    <row r="8" spans="2:9">
      <c r="B8" s="186" t="s">
        <v>402</v>
      </c>
      <c r="C8" s="221">
        <v>365</v>
      </c>
      <c r="D8" s="184" t="s">
        <v>403</v>
      </c>
    </row>
    <row r="9" spans="2:9">
      <c r="B9" s="186" t="s">
        <v>404</v>
      </c>
      <c r="C9" s="223">
        <f>VALUE(SUBSTITUTE('Exhibit 12'!D9,"x",""))</f>
        <v>1.75</v>
      </c>
      <c r="D9" s="184" t="s">
        <v>405</v>
      </c>
    </row>
    <row r="10" spans="2:9">
      <c r="B10" s="186" t="s">
        <v>406</v>
      </c>
      <c r="C10" s="224">
        <v>1</v>
      </c>
      <c r="D10" s="184" t="s">
        <v>407</v>
      </c>
    </row>
    <row r="11" spans="2:9">
      <c r="B11" s="186" t="s">
        <v>408</v>
      </c>
      <c r="C11" s="225">
        <f>'Exhibit 1'!C6</f>
        <v>0.21</v>
      </c>
      <c r="D11" s="184" t="s">
        <v>409</v>
      </c>
    </row>
    <row r="14" spans="2:9" ht="30" customHeight="1">
      <c r="B14" s="226" t="s">
        <v>410</v>
      </c>
      <c r="C14" s="226" t="s">
        <v>411</v>
      </c>
      <c r="D14" s="226" t="s">
        <v>412</v>
      </c>
      <c r="E14" s="226" t="s">
        <v>413</v>
      </c>
      <c r="F14" s="226" t="s">
        <v>414</v>
      </c>
      <c r="G14" s="226" t="s">
        <v>415</v>
      </c>
      <c r="H14" s="226" t="s">
        <v>416</v>
      </c>
      <c r="I14" s="226" t="s">
        <v>417</v>
      </c>
    </row>
    <row r="15" spans="2:9">
      <c r="B15" s="227" t="str">
        <f>'Exhibit 3'!B6</f>
        <v>Company A</v>
      </c>
      <c r="C15" s="228">
        <f>'Exhibit 3'!N6</f>
        <v>1.45</v>
      </c>
      <c r="D15" s="229">
        <f>'Exhibit 3'!F6</f>
        <v>58786280</v>
      </c>
      <c r="E15" s="229">
        <f>'Exhibit 3'!E6</f>
        <v>81285876.826000005</v>
      </c>
      <c r="F15" s="230">
        <f t="shared" ref="F15:F25" si="0">D15/E15</f>
        <v>0.72320410747167696</v>
      </c>
      <c r="G15" s="231">
        <f t="shared" ref="G15:G25" si="1">C15/(1+(1-$C$11)*F15)</f>
        <v>0.92278442543784345</v>
      </c>
      <c r="H15" s="221">
        <v>1</v>
      </c>
    </row>
    <row r="16" spans="2:9">
      <c r="B16" s="227" t="str">
        <f>'Exhibit 3'!B7</f>
        <v>Company B</v>
      </c>
      <c r="C16" s="228">
        <f>'Exhibit 3'!N7</f>
        <v>1.1399999999999999</v>
      </c>
      <c r="D16" s="229">
        <f>'Exhibit 3'!F7</f>
        <v>38286344</v>
      </c>
      <c r="E16" s="229">
        <f>'Exhibit 3'!E7</f>
        <v>96481166.037029997</v>
      </c>
      <c r="F16" s="230">
        <f t="shared" si="0"/>
        <v>0.39682712774538287</v>
      </c>
      <c r="G16" s="231">
        <f t="shared" si="1"/>
        <v>0.8679145043020996</v>
      </c>
      <c r="H16" s="221">
        <v>1</v>
      </c>
    </row>
    <row r="17" spans="2:9">
      <c r="B17" s="227" t="str">
        <f>'Exhibit 3'!B8</f>
        <v>Company C</v>
      </c>
      <c r="C17" s="228">
        <f>'Exhibit 3'!N8</f>
        <v>1.77</v>
      </c>
      <c r="D17" s="229">
        <f>'Exhibit 3'!F8</f>
        <v>68437320</v>
      </c>
      <c r="E17" s="229">
        <f>'Exhibit 3'!E8</f>
        <v>140705208.09224999</v>
      </c>
      <c r="F17" s="230">
        <f t="shared" si="0"/>
        <v>0.48638796621608144</v>
      </c>
      <c r="G17" s="231">
        <f t="shared" si="1"/>
        <v>1.2786739995755296</v>
      </c>
      <c r="H17" s="221">
        <v>1</v>
      </c>
    </row>
    <row r="18" spans="2:9">
      <c r="B18" s="227" t="str">
        <f>'Exhibit 3'!B9</f>
        <v>Company D</v>
      </c>
      <c r="C18" s="228">
        <f>'Exhibit 3'!N9</f>
        <v>1.1599999999999999</v>
      </c>
      <c r="D18" s="229">
        <f>'Exhibit 3'!F9</f>
        <v>37564875</v>
      </c>
      <c r="E18" s="229">
        <f>'Exhibit 3'!E9</f>
        <v>114647925.88940001</v>
      </c>
      <c r="F18" s="230">
        <f t="shared" si="0"/>
        <v>0.32765420489367209</v>
      </c>
      <c r="G18" s="231">
        <f t="shared" si="1"/>
        <v>0.92147827666635451</v>
      </c>
      <c r="H18" s="221">
        <v>1</v>
      </c>
    </row>
    <row r="19" spans="2:9">
      <c r="B19" s="227" t="str">
        <f>'Exhibit 3'!B10</f>
        <v>Company E</v>
      </c>
      <c r="C19" s="228">
        <f>'Exhibit 3'!N10</f>
        <v>1.25</v>
      </c>
      <c r="D19" s="229">
        <f>'Exhibit 3'!F10</f>
        <v>45894882</v>
      </c>
      <c r="E19" s="229">
        <f>'Exhibit 3'!E10</f>
        <v>43600829.430760004</v>
      </c>
      <c r="F19" s="230">
        <f t="shared" si="0"/>
        <v>1.0526148836889226</v>
      </c>
      <c r="G19" s="231">
        <f t="shared" si="1"/>
        <v>0.68247617889896572</v>
      </c>
      <c r="H19" s="221">
        <v>1</v>
      </c>
    </row>
    <row r="20" spans="2:9">
      <c r="B20" s="227" t="str">
        <f>'Exhibit 3'!B11</f>
        <v>Company F</v>
      </c>
      <c r="C20" s="228">
        <f>'Exhibit 3'!N11</f>
        <v>0.79</v>
      </c>
      <c r="D20" s="229">
        <f>'Exhibit 3'!F11</f>
        <v>12118484</v>
      </c>
      <c r="E20" s="229">
        <f>'Exhibit 3'!E11</f>
        <v>5758257.5076099997</v>
      </c>
      <c r="F20" s="230">
        <f t="shared" si="0"/>
        <v>2.1045401293680337</v>
      </c>
      <c r="G20" s="231">
        <f t="shared" si="1"/>
        <v>0.29670395309457148</v>
      </c>
      <c r="H20" s="221">
        <v>1</v>
      </c>
    </row>
    <row r="21" spans="2:9">
      <c r="B21" s="227" t="str">
        <f>'Exhibit 3'!B12</f>
        <v>Company G</v>
      </c>
      <c r="C21" s="228">
        <f>'Exhibit 3'!N12</f>
        <v>0.92</v>
      </c>
      <c r="D21" s="229">
        <f>'Exhibit 3'!F12</f>
        <v>12855538</v>
      </c>
      <c r="E21" s="229">
        <f>'Exhibit 3'!E12</f>
        <v>70196095.946500003</v>
      </c>
      <c r="F21" s="230">
        <f t="shared" si="0"/>
        <v>0.18313750681801244</v>
      </c>
      <c r="G21" s="231">
        <f t="shared" si="1"/>
        <v>0.80371903133159728</v>
      </c>
      <c r="H21" s="221">
        <v>1</v>
      </c>
    </row>
    <row r="22" spans="2:9">
      <c r="B22" s="227" t="str">
        <f>'Exhibit 3'!B13</f>
        <v>Company H</v>
      </c>
      <c r="C22" s="228">
        <f>'Exhibit 3'!N13</f>
        <v>1.26</v>
      </c>
      <c r="D22" s="229">
        <f>'Exhibit 3'!F13</f>
        <v>13498324</v>
      </c>
      <c r="E22" s="229">
        <f>'Exhibit 3'!E13</f>
        <v>45325060.895400003</v>
      </c>
      <c r="F22" s="230">
        <f t="shared" si="0"/>
        <v>0.2978114917738573</v>
      </c>
      <c r="G22" s="231">
        <f t="shared" si="1"/>
        <v>1.0200190241065583</v>
      </c>
      <c r="H22" s="221">
        <v>1</v>
      </c>
    </row>
    <row r="23" spans="2:9">
      <c r="B23" s="227" t="str">
        <f>'Exhibit 3'!B14</f>
        <v>Company I</v>
      </c>
      <c r="C23" s="228">
        <f>'Exhibit 3'!N14</f>
        <v>1.42</v>
      </c>
      <c r="D23" s="229">
        <f>'Exhibit 3'!F14</f>
        <v>30183120</v>
      </c>
      <c r="E23" s="229">
        <f>'Exhibit 3'!E14</f>
        <v>3605707.82656</v>
      </c>
      <c r="F23" s="230">
        <f t="shared" si="0"/>
        <v>8.3709278321632592</v>
      </c>
      <c r="G23" s="231">
        <f t="shared" si="1"/>
        <v>0.18652224446531443</v>
      </c>
      <c r="H23" s="224">
        <v>0</v>
      </c>
      <c r="I23" s="184" t="s">
        <v>418</v>
      </c>
    </row>
    <row r="24" spans="2:9">
      <c r="B24" s="227" t="str">
        <f>'Exhibit 3'!B15</f>
        <v>Company J</v>
      </c>
      <c r="C24" s="228">
        <f>'Exhibit 3'!N15</f>
        <v>0.71</v>
      </c>
      <c r="D24" s="229">
        <f>'Exhibit 3'!F15</f>
        <v>10927581</v>
      </c>
      <c r="E24" s="229">
        <f>'Exhibit 3'!E15</f>
        <v>2447214.7072000001</v>
      </c>
      <c r="F24" s="230">
        <f t="shared" si="0"/>
        <v>4.4653135533428028</v>
      </c>
      <c r="G24" s="231">
        <f t="shared" si="1"/>
        <v>0.15681605255701178</v>
      </c>
      <c r="H24" s="224">
        <v>0</v>
      </c>
      <c r="I24" s="184" t="s">
        <v>418</v>
      </c>
    </row>
    <row r="25" spans="2:9">
      <c r="B25" s="227" t="str">
        <f>'Exhibit 3'!B16</f>
        <v>Company K</v>
      </c>
      <c r="C25" s="228">
        <f>'Exhibit 3'!N16</f>
        <v>1.42</v>
      </c>
      <c r="D25" s="229">
        <f>'Exhibit 3'!F16</f>
        <v>45461220</v>
      </c>
      <c r="E25" s="229">
        <f>'Exhibit 3'!E16</f>
        <v>123031141.68821999</v>
      </c>
      <c r="F25" s="230">
        <f t="shared" si="0"/>
        <v>0.36950986048073736</v>
      </c>
      <c r="G25" s="231">
        <f t="shared" si="1"/>
        <v>1.0991453999321821</v>
      </c>
      <c r="H25" s="221">
        <v>1</v>
      </c>
    </row>
    <row r="26" spans="2:9">
      <c r="B26" s="184" t="s">
        <v>419</v>
      </c>
    </row>
    <row r="27" spans="2:9">
      <c r="B27" s="190" t="s">
        <v>420</v>
      </c>
      <c r="G27" s="232">
        <f>SUMPRODUCT(G15:G25,H15:H25)/SUM(H15:H25)</f>
        <v>0.87699053259396686</v>
      </c>
    </row>
    <row r="30" spans="2:9">
      <c r="B30" s="185" t="s">
        <v>421</v>
      </c>
      <c r="C30" s="185"/>
      <c r="D30" s="185"/>
    </row>
    <row r="31" spans="2:9">
      <c r="B31" s="186" t="s">
        <v>422</v>
      </c>
      <c r="C31" s="229">
        <f>'Exhibit 2'!E80*'Exhibit 2'!E81</f>
        <v>51842</v>
      </c>
      <c r="D31" s="184" t="s">
        <v>423</v>
      </c>
    </row>
    <row r="32" spans="2:9">
      <c r="B32" s="186" t="s">
        <v>424</v>
      </c>
      <c r="C32" s="229">
        <f>'Exhibit 2'!E41+'Exhibit 2'!E44</f>
        <v>26764</v>
      </c>
      <c r="D32" s="184" t="s">
        <v>425</v>
      </c>
    </row>
    <row r="33" spans="2:7">
      <c r="B33" s="186" t="s">
        <v>414</v>
      </c>
      <c r="C33" s="230">
        <f>C32/C31</f>
        <v>0.51626094672273448</v>
      </c>
      <c r="D33" s="184"/>
    </row>
    <row r="34" spans="2:7">
      <c r="B34" s="186" t="s">
        <v>426</v>
      </c>
      <c r="C34" s="233">
        <f>C32/(C32+C31)</f>
        <v>0.34048291479021958</v>
      </c>
      <c r="D34" s="184"/>
    </row>
    <row r="35" spans="2:7">
      <c r="B35" s="186" t="s">
        <v>427</v>
      </c>
      <c r="C35" s="233">
        <f>1-C34</f>
        <v>0.65951708520978047</v>
      </c>
      <c r="D35" s="184"/>
    </row>
    <row r="36" spans="2:7">
      <c r="B36" s="186" t="s">
        <v>428</v>
      </c>
      <c r="C36" s="231">
        <f>G27*(1+(1-C11)*C33)</f>
        <v>1.2346677430667978</v>
      </c>
      <c r="D36" s="184" t="s">
        <v>429</v>
      </c>
    </row>
    <row r="37" spans="2:7">
      <c r="B37" s="186" t="s">
        <v>430</v>
      </c>
      <c r="C37" s="234">
        <f>'Exhibit 1'!C7</f>
        <v>0.04</v>
      </c>
      <c r="D37" s="184" t="s">
        <v>409</v>
      </c>
    </row>
    <row r="38" spans="2:7">
      <c r="B38" s="186" t="s">
        <v>431</v>
      </c>
      <c r="C38" s="234">
        <f>'Exhibit 1'!C8</f>
        <v>5.5E-2</v>
      </c>
      <c r="D38" s="184" t="s">
        <v>409</v>
      </c>
    </row>
    <row r="39" spans="2:7">
      <c r="B39" s="186" t="s">
        <v>432</v>
      </c>
      <c r="C39" s="233">
        <f>C37+C36*C38</f>
        <v>0.10790672586867389</v>
      </c>
      <c r="D39" s="184" t="s">
        <v>433</v>
      </c>
    </row>
    <row r="40" spans="2:7">
      <c r="B40" s="186" t="s">
        <v>434</v>
      </c>
      <c r="C40" s="235">
        <f>'Exhibit 2'!E74</f>
        <v>5.6599999999999998E-2</v>
      </c>
      <c r="D40" s="184" t="s">
        <v>435</v>
      </c>
    </row>
    <row r="41" spans="2:7">
      <c r="B41" s="186" t="s">
        <v>436</v>
      </c>
      <c r="C41" s="236">
        <f>C40*(1-C11)</f>
        <v>4.4713999999999997E-2</v>
      </c>
      <c r="D41" s="184"/>
    </row>
    <row r="42" spans="2:7">
      <c r="B42" s="186" t="s">
        <v>437</v>
      </c>
      <c r="C42" s="237">
        <f>C35*C39+C34*C41</f>
        <v>8.6390682371368502E-2</v>
      </c>
      <c r="D42" s="184"/>
    </row>
    <row r="45" spans="2:7" ht="42" customHeight="1">
      <c r="B45" s="226" t="s">
        <v>438</v>
      </c>
      <c r="C45" s="226" t="s">
        <v>439</v>
      </c>
      <c r="D45" s="226" t="s">
        <v>440</v>
      </c>
      <c r="E45" s="226" t="s">
        <v>441</v>
      </c>
      <c r="F45" s="226" t="s">
        <v>442</v>
      </c>
      <c r="G45" s="226" t="s">
        <v>443</v>
      </c>
    </row>
    <row r="46" spans="2:7">
      <c r="B46" s="190" t="s">
        <v>444</v>
      </c>
      <c r="C46" s="234">
        <f>'Exhibit 4'!C5</f>
        <v>0</v>
      </c>
      <c r="D46" s="236">
        <f>$C$39+C46</f>
        <v>0.10790672586867389</v>
      </c>
      <c r="E46" s="236">
        <f>$C$35*D46+$C$34*$C$41</f>
        <v>8.6390682371368502E-2</v>
      </c>
      <c r="F46" s="236">
        <f>$C$42+C46</f>
        <v>8.6390682371368502E-2</v>
      </c>
      <c r="G46" s="238">
        <f>CHOOSE($C$10,E46,F46)</f>
        <v>8.6390682371368502E-2</v>
      </c>
    </row>
    <row r="47" spans="2:7">
      <c r="B47" s="190" t="s">
        <v>445</v>
      </c>
      <c r="C47" s="234">
        <f>'Exhibit 4'!C7</f>
        <v>0.06</v>
      </c>
      <c r="D47" s="236">
        <f>$C$39+C47</f>
        <v>0.16790672586867389</v>
      </c>
      <c r="E47" s="236">
        <f>$C$35*D47+$C$34*$C$41</f>
        <v>0.12596170748395533</v>
      </c>
      <c r="F47" s="236">
        <f>$C$42+C47</f>
        <v>0.14639068237136849</v>
      </c>
      <c r="G47" s="238">
        <f>CHOOSE($C$10,E47,F47)</f>
        <v>0.12596170748395533</v>
      </c>
    </row>
    <row r="48" spans="2:7">
      <c r="B48" s="190" t="s">
        <v>446</v>
      </c>
      <c r="C48" s="234">
        <f>'Exhibit 4'!C6</f>
        <v>0.03</v>
      </c>
      <c r="D48" s="236">
        <f>$C$39+C48</f>
        <v>0.13790672586867389</v>
      </c>
      <c r="E48" s="236">
        <f>$C$35*D48+$C$34*$C$41</f>
        <v>0.10617619492766191</v>
      </c>
      <c r="F48" s="236">
        <f>$C$42+C48</f>
        <v>0.1163906823713685</v>
      </c>
      <c r="G48" s="238">
        <f>CHOOSE($C$10,E48,F48)</f>
        <v>0.10617619492766191</v>
      </c>
    </row>
    <row r="50" spans="2:2">
      <c r="B50" s="184" t="s">
        <v>447</v>
      </c>
    </row>
  </sheetData>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B1:N68"/>
  <sheetViews>
    <sheetView showGridLines="0" tabSelected="1" topLeftCell="A3" zoomScaleNormal="100" workbookViewId="0">
      <pane xSplit="3" topLeftCell="E54" activePane="topRight" state="frozen"/>
      <selection pane="topRight" activeCell="N62" sqref="N62"/>
    </sheetView>
  </sheetViews>
  <sheetFormatPr defaultColWidth="8.42578125" defaultRowHeight="15"/>
  <cols>
    <col min="1" max="1" width="2" customWidth="1"/>
    <col min="2" max="2" width="58" customWidth="1"/>
    <col min="3" max="3" width="2" customWidth="1"/>
    <col min="4" max="14" width="11" customWidth="1"/>
  </cols>
  <sheetData>
    <row r="1" spans="2:14" ht="18">
      <c r="B1" s="183" t="s">
        <v>448</v>
      </c>
    </row>
    <row r="2" spans="2:14">
      <c r="B2" s="184" t="s">
        <v>449</v>
      </c>
    </row>
    <row r="3" spans="2:14">
      <c r="B3" s="185" t="s">
        <v>450</v>
      </c>
      <c r="C3" s="185"/>
      <c r="D3" s="185"/>
    </row>
    <row r="4" spans="2:14">
      <c r="B4" s="186" t="s">
        <v>451</v>
      </c>
      <c r="D4" s="229">
        <f>'Exhibit 1'!C11*1000</f>
        <v>2000</v>
      </c>
    </row>
    <row r="5" spans="2:14">
      <c r="B5" s="186" t="s">
        <v>452</v>
      </c>
      <c r="D5" s="234">
        <f>'Exhibit 1'!C12</f>
        <v>0.15</v>
      </c>
    </row>
    <row r="6" spans="2:14">
      <c r="B6" s="186" t="s">
        <v>453</v>
      </c>
      <c r="D6" s="239">
        <f>'Exhibit 1'!C13</f>
        <v>15</v>
      </c>
    </row>
    <row r="7" spans="2:14">
      <c r="B7" s="186" t="s">
        <v>454</v>
      </c>
      <c r="D7" s="239">
        <f>'Exhibit 1'!C14</f>
        <v>2</v>
      </c>
    </row>
    <row r="8" spans="2:14">
      <c r="B8" s="186" t="s">
        <v>455</v>
      </c>
      <c r="D8" s="239">
        <f>'Exhibit 1'!C16</f>
        <v>2</v>
      </c>
    </row>
    <row r="9" spans="2:14">
      <c r="B9" s="186" t="s">
        <v>456</v>
      </c>
      <c r="D9" s="240">
        <f>'Exhibit 1'!C15</f>
        <v>10</v>
      </c>
    </row>
    <row r="10" spans="2:14">
      <c r="B10" s="186" t="s">
        <v>457</v>
      </c>
      <c r="D10" s="229">
        <f>'Exhibit 1'!C17</f>
        <v>200</v>
      </c>
    </row>
    <row r="11" spans="2:14">
      <c r="B11" s="186" t="s">
        <v>458</v>
      </c>
      <c r="D11" s="240">
        <f>'Exhibit 1'!C18</f>
        <v>1</v>
      </c>
    </row>
    <row r="12" spans="2:14">
      <c r="B12" s="186" t="s">
        <v>459</v>
      </c>
      <c r="D12" s="240">
        <f>'Exhibit 10'!D5</f>
        <v>16</v>
      </c>
    </row>
    <row r="13" spans="2:14">
      <c r="B13" s="186" t="s">
        <v>408</v>
      </c>
      <c r="D13" s="225">
        <f>'WACC &amp; Inputs'!$C$11</f>
        <v>0.21</v>
      </c>
    </row>
    <row r="14" spans="2:14">
      <c r="B14" s="186" t="s">
        <v>284</v>
      </c>
      <c r="D14" s="235">
        <f>'WACC &amp; Inputs'!G46</f>
        <v>8.6390682371368502E-2</v>
      </c>
    </row>
    <row r="16" spans="2:14">
      <c r="B16" s="185" t="s">
        <v>223</v>
      </c>
      <c r="C16" s="185"/>
      <c r="D16" s="241">
        <v>2027</v>
      </c>
      <c r="E16" s="241">
        <f t="shared" ref="E16:N16" si="0">D16+1</f>
        <v>2028</v>
      </c>
      <c r="F16" s="241">
        <f t="shared" si="0"/>
        <v>2029</v>
      </c>
      <c r="G16" s="241">
        <f t="shared" si="0"/>
        <v>2030</v>
      </c>
      <c r="H16" s="241">
        <f t="shared" si="0"/>
        <v>2031</v>
      </c>
      <c r="I16" s="241">
        <f t="shared" si="0"/>
        <v>2032</v>
      </c>
      <c r="J16" s="241">
        <f t="shared" si="0"/>
        <v>2033</v>
      </c>
      <c r="K16" s="241">
        <f t="shared" si="0"/>
        <v>2034</v>
      </c>
      <c r="L16" s="241">
        <f t="shared" si="0"/>
        <v>2035</v>
      </c>
      <c r="M16" s="241">
        <f t="shared" si="0"/>
        <v>2036</v>
      </c>
      <c r="N16" s="241">
        <f t="shared" si="0"/>
        <v>2037</v>
      </c>
    </row>
    <row r="17" spans="2:14">
      <c r="B17" s="186" t="s">
        <v>460</v>
      </c>
      <c r="D17" s="242">
        <f>'Exhibit 5'!D5</f>
        <v>0</v>
      </c>
      <c r="E17" s="242">
        <f>'Exhibit 5'!E5</f>
        <v>75</v>
      </c>
      <c r="F17" s="242">
        <f>'Exhibit 5'!F5</f>
        <v>75</v>
      </c>
      <c r="G17" s="242">
        <f>'Exhibit 5'!G5</f>
        <v>75</v>
      </c>
      <c r="H17" s="242">
        <f>'Exhibit 5'!H5</f>
        <v>74.86</v>
      </c>
      <c r="I17" s="242">
        <f>'Exhibit 5'!I5</f>
        <v>74.930000000000007</v>
      </c>
      <c r="J17" s="242">
        <f>'Exhibit 5'!J5</f>
        <v>74.819999999999993</v>
      </c>
      <c r="K17" s="242">
        <f>'Exhibit 5'!K5</f>
        <v>74.64</v>
      </c>
      <c r="L17" s="242">
        <f>'Exhibit 5'!L5</f>
        <v>74.61</v>
      </c>
      <c r="M17" s="242">
        <f>'Exhibit 5'!M5</f>
        <v>74.739999999999995</v>
      </c>
      <c r="N17" s="242">
        <f>'Exhibit 5'!N5</f>
        <v>74.400000000000006</v>
      </c>
    </row>
    <row r="18" spans="2:14">
      <c r="B18" s="186" t="s">
        <v>461</v>
      </c>
      <c r="D18" s="243">
        <f>D17*1000*'WACC &amp; Inputs'!$C$8/1000000</f>
        <v>0</v>
      </c>
      <c r="E18" s="243">
        <f>E17*1000*'WACC &amp; Inputs'!$C$8/1000000</f>
        <v>27.375</v>
      </c>
      <c r="F18" s="243">
        <f>F17*1000*'WACC &amp; Inputs'!$C$8/1000000</f>
        <v>27.375</v>
      </c>
      <c r="G18" s="243">
        <f>G17*1000*'WACC &amp; Inputs'!$C$8/1000000</f>
        <v>27.375</v>
      </c>
      <c r="H18" s="243">
        <f>H17*1000*'WACC &amp; Inputs'!$C$8/1000000</f>
        <v>27.323899999999998</v>
      </c>
      <c r="I18" s="243">
        <f>I17*1000*'WACC &amp; Inputs'!$C$8/1000000</f>
        <v>27.349450000000001</v>
      </c>
      <c r="J18" s="243">
        <f>J17*1000*'WACC &amp; Inputs'!$C$8/1000000</f>
        <v>27.3093</v>
      </c>
      <c r="K18" s="243">
        <f>K17*1000*'WACC &amp; Inputs'!$C$8/1000000</f>
        <v>27.243600000000001</v>
      </c>
      <c r="L18" s="243">
        <f>L17*1000*'WACC &amp; Inputs'!$C$8/1000000</f>
        <v>27.23265</v>
      </c>
      <c r="M18" s="243">
        <f>M17*1000*'WACC &amp; Inputs'!$C$8/1000000</f>
        <v>27.280100000000001</v>
      </c>
      <c r="N18" s="243">
        <f>N17*1000*'WACC &amp; Inputs'!$C$8/1000000</f>
        <v>27.155999999999999</v>
      </c>
    </row>
    <row r="19" spans="2:14">
      <c r="B19" s="186" t="s">
        <v>462</v>
      </c>
      <c r="D19" s="234">
        <f>'Exhibit 8'!E5</f>
        <v>0</v>
      </c>
      <c r="E19" s="234">
        <f>'Exhibit 8'!F5</f>
        <v>0.59</v>
      </c>
      <c r="F19" s="234">
        <f>'Exhibit 8'!G5</f>
        <v>0.58499999999999996</v>
      </c>
      <c r="G19" s="234">
        <f>'Exhibit 8'!H5</f>
        <v>0.57999999999999996</v>
      </c>
      <c r="H19" s="234">
        <f>'Exhibit 8'!I5</f>
        <v>0.57499999999999996</v>
      </c>
      <c r="I19" s="234">
        <f>'Exhibit 8'!J5</f>
        <v>0.56999999999999995</v>
      </c>
      <c r="J19" s="234">
        <f>'Exhibit 8'!K5</f>
        <v>0.56499999999999995</v>
      </c>
      <c r="K19" s="234">
        <f>'Exhibit 8'!L5</f>
        <v>0.56000000000000005</v>
      </c>
      <c r="L19" s="234">
        <f>'Exhibit 8'!M5</f>
        <v>0.55000000000000004</v>
      </c>
      <c r="M19" s="234">
        <f>'Exhibit 8'!N5</f>
        <v>0.54</v>
      </c>
      <c r="N19" s="234">
        <f>'Exhibit 8'!O5</f>
        <v>0.53</v>
      </c>
    </row>
    <row r="20" spans="2:14">
      <c r="B20" s="186" t="s">
        <v>463</v>
      </c>
      <c r="D20" s="234">
        <f>'Exhibit 8'!E6</f>
        <v>0</v>
      </c>
      <c r="E20" s="234">
        <f>'Exhibit 8'!F6</f>
        <v>0.32800000000000001</v>
      </c>
      <c r="F20" s="234">
        <f>'Exhibit 8'!G6</f>
        <v>0.33200000000000002</v>
      </c>
      <c r="G20" s="234">
        <f>'Exhibit 8'!H6</f>
        <v>0.33600000000000002</v>
      </c>
      <c r="H20" s="234">
        <f>'Exhibit 8'!I6</f>
        <v>0.34</v>
      </c>
      <c r="I20" s="234">
        <f>'Exhibit 8'!J6</f>
        <v>0.34399999999999997</v>
      </c>
      <c r="J20" s="234">
        <f>'Exhibit 8'!K6</f>
        <v>0.34799999999999998</v>
      </c>
      <c r="K20" s="234">
        <f>'Exhibit 8'!L6</f>
        <v>0.35199999999999998</v>
      </c>
      <c r="L20" s="234">
        <f>'Exhibit 8'!M6</f>
        <v>0.36</v>
      </c>
      <c r="M20" s="234">
        <f>'Exhibit 8'!N6</f>
        <v>0.36799999999999999</v>
      </c>
      <c r="N20" s="234">
        <f>'Exhibit 8'!O6</f>
        <v>0.376</v>
      </c>
    </row>
    <row r="21" spans="2:14">
      <c r="B21" s="186" t="s">
        <v>464</v>
      </c>
      <c r="D21" s="234">
        <f>'Exhibit 8'!E7</f>
        <v>0</v>
      </c>
      <c r="E21" s="234">
        <f>'Exhibit 8'!F7</f>
        <v>8.2000000000000003E-2</v>
      </c>
      <c r="F21" s="234">
        <f>'Exhibit 8'!G7</f>
        <v>8.3000000000000004E-2</v>
      </c>
      <c r="G21" s="234">
        <f>'Exhibit 8'!H7</f>
        <v>8.4000000000000005E-2</v>
      </c>
      <c r="H21" s="234">
        <f>'Exhibit 8'!I7</f>
        <v>8.5000000000000006E-2</v>
      </c>
      <c r="I21" s="234">
        <f>'Exhibit 8'!J7</f>
        <v>8.5999999999999993E-2</v>
      </c>
      <c r="J21" s="234">
        <f>'Exhibit 8'!K7</f>
        <v>8.6999999999999994E-2</v>
      </c>
      <c r="K21" s="234">
        <f>'Exhibit 8'!L7</f>
        <v>8.7999999999999995E-2</v>
      </c>
      <c r="L21" s="234">
        <f>'Exhibit 8'!M7</f>
        <v>0.09</v>
      </c>
      <c r="M21" s="234">
        <f>'Exhibit 8'!N7</f>
        <v>9.1999999999999998E-2</v>
      </c>
      <c r="N21" s="234">
        <f>'Exhibit 8'!O7</f>
        <v>9.4E-2</v>
      </c>
    </row>
    <row r="22" spans="2:14">
      <c r="B22" s="186" t="s">
        <v>465</v>
      </c>
      <c r="D22" s="239">
        <f>'Exhibit 9'!F5</f>
        <v>80.98</v>
      </c>
      <c r="E22" s="239">
        <f>'Exhibit 9'!G5</f>
        <v>72.38</v>
      </c>
      <c r="F22" s="239">
        <f>'Exhibit 9'!H5</f>
        <v>69.47</v>
      </c>
      <c r="G22" s="239">
        <f>'Exhibit 9'!I5</f>
        <v>69.47</v>
      </c>
      <c r="H22" s="239">
        <f>'Exhibit 9'!J5</f>
        <v>69.47</v>
      </c>
      <c r="I22" s="239">
        <f>'Exhibit 9'!K5</f>
        <v>69.47</v>
      </c>
      <c r="J22" s="239">
        <f>'Exhibit 9'!L5</f>
        <v>69.47</v>
      </c>
      <c r="K22" s="239">
        <f>'Exhibit 9'!M5</f>
        <v>69.47</v>
      </c>
      <c r="L22" s="239">
        <f>'Exhibit 9'!N5</f>
        <v>69.47</v>
      </c>
      <c r="M22" s="239">
        <f>'Exhibit 9'!O5</f>
        <v>69.47</v>
      </c>
      <c r="N22" s="239">
        <f>'Exhibit 9'!P5</f>
        <v>69.47</v>
      </c>
    </row>
    <row r="23" spans="2:14">
      <c r="B23" s="186" t="s">
        <v>466</v>
      </c>
      <c r="D23" s="239">
        <f>'Exhibit 9'!F6</f>
        <v>3.06</v>
      </c>
      <c r="E23" s="239">
        <f>'Exhibit 9'!G6</f>
        <v>3.38</v>
      </c>
      <c r="F23" s="239">
        <f>'Exhibit 9'!H6</f>
        <v>3.38</v>
      </c>
      <c r="G23" s="239">
        <f>'Exhibit 9'!I6</f>
        <v>3.38</v>
      </c>
      <c r="H23" s="239">
        <f>'Exhibit 9'!J6</f>
        <v>3.38</v>
      </c>
      <c r="I23" s="239">
        <f>'Exhibit 9'!K6</f>
        <v>3.38</v>
      </c>
      <c r="J23" s="239">
        <f>'Exhibit 9'!L6</f>
        <v>3.38</v>
      </c>
      <c r="K23" s="239">
        <f>'Exhibit 9'!M6</f>
        <v>3.38</v>
      </c>
      <c r="L23" s="239">
        <f>'Exhibit 9'!N6</f>
        <v>3.38</v>
      </c>
      <c r="M23" s="239">
        <f>'Exhibit 9'!O6</f>
        <v>3.38</v>
      </c>
      <c r="N23" s="239">
        <f>'Exhibit 9'!P6</f>
        <v>3.38</v>
      </c>
    </row>
    <row r="24" spans="2:14">
      <c r="B24" s="186" t="s">
        <v>467</v>
      </c>
      <c r="D24" s="239">
        <f>'Exhibit 9'!F7</f>
        <v>28.34</v>
      </c>
      <c r="E24" s="239">
        <f>'Exhibit 9'!G7</f>
        <v>25.33</v>
      </c>
      <c r="F24" s="239">
        <f>'Exhibit 9'!H7</f>
        <v>24.31</v>
      </c>
      <c r="G24" s="239">
        <f>'Exhibit 9'!I7</f>
        <v>24.31</v>
      </c>
      <c r="H24" s="239">
        <f>'Exhibit 9'!J7</f>
        <v>24.31</v>
      </c>
      <c r="I24" s="239">
        <f>'Exhibit 9'!K7</f>
        <v>24.31</v>
      </c>
      <c r="J24" s="239">
        <f>'Exhibit 9'!L7</f>
        <v>24.31</v>
      </c>
      <c r="K24" s="239">
        <f>'Exhibit 9'!M7</f>
        <v>24.31</v>
      </c>
      <c r="L24" s="239">
        <f>'Exhibit 9'!N7</f>
        <v>24.31</v>
      </c>
      <c r="M24" s="239">
        <f>'Exhibit 9'!O7</f>
        <v>24.31</v>
      </c>
      <c r="N24" s="239">
        <f>'Exhibit 9'!P7</f>
        <v>24.31</v>
      </c>
    </row>
    <row r="25" spans="2:14">
      <c r="B25" s="186" t="s">
        <v>468</v>
      </c>
      <c r="D25" s="244">
        <f>D23*'WACC &amp; Inputs'!$C$6*'WACC &amp; Inputs'!$C$7</f>
        <v>18.874079999999999</v>
      </c>
      <c r="E25" s="244">
        <f>E23*'WACC &amp; Inputs'!$C$6*'WACC &amp; Inputs'!$C$7</f>
        <v>20.847840000000001</v>
      </c>
      <c r="F25" s="244">
        <f>F23*'WACC &amp; Inputs'!$C$6*'WACC &amp; Inputs'!$C$7</f>
        <v>20.847840000000001</v>
      </c>
      <c r="G25" s="244">
        <f>G23*'WACC &amp; Inputs'!$C$6*'WACC &amp; Inputs'!$C$7</f>
        <v>20.847840000000001</v>
      </c>
      <c r="H25" s="244">
        <f>H23*'WACC &amp; Inputs'!$C$6*'WACC &amp; Inputs'!$C$7</f>
        <v>20.847840000000001</v>
      </c>
      <c r="I25" s="244">
        <f>I23*'WACC &amp; Inputs'!$C$6*'WACC &amp; Inputs'!$C$7</f>
        <v>20.847840000000001</v>
      </c>
      <c r="J25" s="244">
        <f>J23*'WACC &amp; Inputs'!$C$6*'WACC &amp; Inputs'!$C$7</f>
        <v>20.847840000000001</v>
      </c>
      <c r="K25" s="244">
        <f>K23*'WACC &amp; Inputs'!$C$6*'WACC &amp; Inputs'!$C$7</f>
        <v>20.847840000000001</v>
      </c>
      <c r="L25" s="244">
        <f>L23*'WACC &amp; Inputs'!$C$6*'WACC &amp; Inputs'!$C$7</f>
        <v>20.847840000000001</v>
      </c>
      <c r="M25" s="244">
        <f>M23*'WACC &amp; Inputs'!$C$6*'WACC &amp; Inputs'!$C$7</f>
        <v>20.847840000000001</v>
      </c>
      <c r="N25" s="244">
        <f>N23*'WACC &amp; Inputs'!$C$6*'WACC &amp; Inputs'!$C$7</f>
        <v>20.847840000000001</v>
      </c>
    </row>
    <row r="26" spans="2:14">
      <c r="B26" s="186" t="s">
        <v>265</v>
      </c>
      <c r="D26" s="245">
        <f>D18*D19*D22</f>
        <v>0</v>
      </c>
      <c r="E26" s="245">
        <f>E18*E19*E22</f>
        <v>1169.0274749999996</v>
      </c>
      <c r="F26" s="245">
        <f t="shared" ref="D26:N26" si="1">F18*F19*F22</f>
        <v>1112.5186312499998</v>
      </c>
      <c r="G26" s="245">
        <f t="shared" si="1"/>
        <v>1103.0099249999998</v>
      </c>
      <c r="H26" s="245">
        <f t="shared" si="1"/>
        <v>1091.4600164749997</v>
      </c>
      <c r="I26" s="245">
        <f t="shared" si="1"/>
        <v>1082.9807861549998</v>
      </c>
      <c r="J26" s="245">
        <f t="shared" si="1"/>
        <v>1071.9050451149999</v>
      </c>
      <c r="K26" s="245">
        <f t="shared" si="1"/>
        <v>1059.86321952</v>
      </c>
      <c r="L26" s="245">
        <f t="shared" si="1"/>
        <v>1040.5187075250001</v>
      </c>
      <c r="M26" s="245">
        <f t="shared" si="1"/>
        <v>1023.3802153800001</v>
      </c>
      <c r="N26" s="245">
        <f t="shared" si="1"/>
        <v>999.85947959999999</v>
      </c>
    </row>
    <row r="27" spans="2:14">
      <c r="B27" s="186" t="s">
        <v>266</v>
      </c>
      <c r="D27" s="245">
        <f t="shared" ref="D27:N27" si="2">D18*D20*D25</f>
        <v>0</v>
      </c>
      <c r="E27" s="245">
        <f>E18*E20*E25</f>
        <v>187.19275536000004</v>
      </c>
      <c r="F27" s="245">
        <f t="shared" si="2"/>
        <v>189.47559384000002</v>
      </c>
      <c r="G27" s="245">
        <f t="shared" si="2"/>
        <v>191.75843232000003</v>
      </c>
      <c r="H27" s="245">
        <f t="shared" si="2"/>
        <v>193.67906042784003</v>
      </c>
      <c r="I27" s="245">
        <f t="shared" si="2"/>
        <v>196.140873444672</v>
      </c>
      <c r="J27" s="245">
        <f t="shared" si="2"/>
        <v>198.130291085376</v>
      </c>
      <c r="K27" s="245">
        <f t="shared" si="2"/>
        <v>199.925515266048</v>
      </c>
      <c r="L27" s="245">
        <f t="shared" si="2"/>
        <v>204.38709479136</v>
      </c>
      <c r="M27" s="245">
        <f t="shared" si="2"/>
        <v>209.29306687411201</v>
      </c>
      <c r="N27" s="245">
        <f t="shared" si="2"/>
        <v>212.87012258304003</v>
      </c>
    </row>
    <row r="28" spans="2:14">
      <c r="B28" s="186" t="s">
        <v>267</v>
      </c>
      <c r="D28" s="245">
        <f t="shared" ref="D28:N28" si="3">D18*D21*D24</f>
        <v>0</v>
      </c>
      <c r="E28" s="245">
        <f t="shared" si="3"/>
        <v>56.859517500000003</v>
      </c>
      <c r="F28" s="245">
        <f t="shared" si="3"/>
        <v>55.235358749999996</v>
      </c>
      <c r="G28" s="245">
        <f t="shared" si="3"/>
        <v>55.900844999999997</v>
      </c>
      <c r="H28" s="245">
        <f t="shared" si="3"/>
        <v>56.460740765000004</v>
      </c>
      <c r="I28" s="245">
        <f t="shared" si="3"/>
        <v>57.178401136999994</v>
      </c>
      <c r="J28" s="245">
        <f t="shared" si="3"/>
        <v>57.758350220999993</v>
      </c>
      <c r="K28" s="245">
        <f t="shared" si="3"/>
        <v>58.281688607999996</v>
      </c>
      <c r="L28" s="245">
        <f t="shared" si="3"/>
        <v>59.582314934999992</v>
      </c>
      <c r="M28" s="245">
        <f t="shared" si="3"/>
        <v>61.012489251999995</v>
      </c>
      <c r="N28" s="245">
        <f t="shared" si="3"/>
        <v>62.05526184</v>
      </c>
    </row>
    <row r="29" spans="2:14">
      <c r="B29" s="190" t="s">
        <v>268</v>
      </c>
      <c r="D29" s="246">
        <f t="shared" ref="D29:N29" si="4">SUM(D26:D28)</f>
        <v>0</v>
      </c>
      <c r="E29" s="246">
        <f>SUM(E26:E28)</f>
        <v>1413.0797478599998</v>
      </c>
      <c r="F29" s="246">
        <f t="shared" si="4"/>
        <v>1357.2295838399998</v>
      </c>
      <c r="G29" s="246">
        <f t="shared" si="4"/>
        <v>1350.6692023199998</v>
      </c>
      <c r="H29" s="246">
        <f t="shared" si="4"/>
        <v>1341.5998176678399</v>
      </c>
      <c r="I29" s="246">
        <f t="shared" si="4"/>
        <v>1336.3000607366719</v>
      </c>
      <c r="J29" s="246">
        <f t="shared" si="4"/>
        <v>1327.7936864213759</v>
      </c>
      <c r="K29" s="246">
        <f t="shared" si="4"/>
        <v>1318.070423394048</v>
      </c>
      <c r="L29" s="246">
        <f t="shared" si="4"/>
        <v>1304.4881172513599</v>
      </c>
      <c r="M29" s="246">
        <f t="shared" si="4"/>
        <v>1293.6857715061121</v>
      </c>
      <c r="N29" s="246">
        <f t="shared" si="4"/>
        <v>1274.78486402304</v>
      </c>
    </row>
    <row r="30" spans="2:14">
      <c r="B30" s="186" t="s">
        <v>469</v>
      </c>
      <c r="D30" s="245">
        <f t="shared" ref="D30:N30" si="5">-D29*$D$5</f>
        <v>0</v>
      </c>
      <c r="E30" s="245">
        <f>-E29*$D$5</f>
        <v>-211.96196217899995</v>
      </c>
      <c r="F30" s="245">
        <f t="shared" si="5"/>
        <v>-203.58443757599997</v>
      </c>
      <c r="G30" s="245">
        <f t="shared" si="5"/>
        <v>-202.60038034799996</v>
      </c>
      <c r="H30" s="245">
        <f t="shared" si="5"/>
        <v>-201.23997265017599</v>
      </c>
      <c r="I30" s="245">
        <f t="shared" si="5"/>
        <v>-200.44500911050076</v>
      </c>
      <c r="J30" s="245">
        <f t="shared" si="5"/>
        <v>-199.16905296320638</v>
      </c>
      <c r="K30" s="245">
        <f t="shared" si="5"/>
        <v>-197.7105635091072</v>
      </c>
      <c r="L30" s="245">
        <f t="shared" si="5"/>
        <v>-195.67321758770399</v>
      </c>
      <c r="M30" s="245">
        <f t="shared" si="5"/>
        <v>-194.0528657259168</v>
      </c>
      <c r="N30" s="245">
        <f t="shared" si="5"/>
        <v>-191.21772960345598</v>
      </c>
    </row>
    <row r="31" spans="2:14">
      <c r="B31" s="186" t="s">
        <v>470</v>
      </c>
      <c r="D31" s="245">
        <f t="shared" ref="D31:N31" si="6">-D18*$D$6</f>
        <v>0</v>
      </c>
      <c r="E31" s="245">
        <f t="shared" si="6"/>
        <v>-410.625</v>
      </c>
      <c r="F31" s="245">
        <f t="shared" si="6"/>
        <v>-410.625</v>
      </c>
      <c r="G31" s="245">
        <f t="shared" si="6"/>
        <v>-410.625</v>
      </c>
      <c r="H31" s="245">
        <f t="shared" si="6"/>
        <v>-409.85849999999999</v>
      </c>
      <c r="I31" s="245">
        <f t="shared" si="6"/>
        <v>-410.24175000000002</v>
      </c>
      <c r="J31" s="245">
        <f t="shared" si="6"/>
        <v>-409.6395</v>
      </c>
      <c r="K31" s="245">
        <f t="shared" si="6"/>
        <v>-408.654</v>
      </c>
      <c r="L31" s="245">
        <f t="shared" si="6"/>
        <v>-408.48975000000002</v>
      </c>
      <c r="M31" s="245">
        <f t="shared" si="6"/>
        <v>-409.20150000000001</v>
      </c>
      <c r="N31" s="245">
        <f t="shared" si="6"/>
        <v>-407.34</v>
      </c>
    </row>
    <row r="32" spans="2:14">
      <c r="B32" s="186" t="s">
        <v>471</v>
      </c>
      <c r="D32" s="245">
        <f>-D18*$D$7</f>
        <v>0</v>
      </c>
      <c r="E32" s="245">
        <f>-E18*$D$7</f>
        <v>-54.75</v>
      </c>
      <c r="F32" s="245">
        <f t="shared" ref="D32:N32" si="7">-F18*$D$7</f>
        <v>-54.75</v>
      </c>
      <c r="G32" s="245">
        <f t="shared" si="7"/>
        <v>-54.75</v>
      </c>
      <c r="H32" s="245">
        <f t="shared" si="7"/>
        <v>-54.647799999999997</v>
      </c>
      <c r="I32" s="245">
        <f t="shared" si="7"/>
        <v>-54.698900000000002</v>
      </c>
      <c r="J32" s="245">
        <f t="shared" si="7"/>
        <v>-54.618600000000001</v>
      </c>
      <c r="K32" s="245">
        <f t="shared" si="7"/>
        <v>-54.487200000000001</v>
      </c>
      <c r="L32" s="245">
        <f t="shared" si="7"/>
        <v>-54.465299999999999</v>
      </c>
      <c r="M32" s="245">
        <f t="shared" si="7"/>
        <v>-54.560200000000002</v>
      </c>
      <c r="N32" s="245">
        <f t="shared" si="7"/>
        <v>-54.311999999999998</v>
      </c>
    </row>
    <row r="33" spans="2:14">
      <c r="B33" s="186" t="s">
        <v>472</v>
      </c>
      <c r="D33" s="245">
        <f t="shared" ref="D33:N33" si="8">-D18*$D$8</f>
        <v>0</v>
      </c>
      <c r="E33" s="245">
        <f>-E18*$D$8</f>
        <v>-54.75</v>
      </c>
      <c r="F33" s="245">
        <f t="shared" si="8"/>
        <v>-54.75</v>
      </c>
      <c r="G33" s="245">
        <f t="shared" si="8"/>
        <v>-54.75</v>
      </c>
      <c r="H33" s="245">
        <f t="shared" si="8"/>
        <v>-54.647799999999997</v>
      </c>
      <c r="I33" s="245">
        <f t="shared" si="8"/>
        <v>-54.698900000000002</v>
      </c>
      <c r="J33" s="245">
        <f t="shared" si="8"/>
        <v>-54.618600000000001</v>
      </c>
      <c r="K33" s="245">
        <f t="shared" si="8"/>
        <v>-54.487200000000001</v>
      </c>
      <c r="L33" s="245">
        <f t="shared" si="8"/>
        <v>-54.465299999999999</v>
      </c>
      <c r="M33" s="245">
        <f t="shared" si="8"/>
        <v>-54.560200000000002</v>
      </c>
      <c r="N33" s="245">
        <f t="shared" si="8"/>
        <v>-54.311999999999998</v>
      </c>
    </row>
    <row r="34" spans="2:14">
      <c r="B34" s="190" t="s">
        <v>473</v>
      </c>
      <c r="D34" s="246">
        <f t="shared" ref="D34:N34" si="9">SUM(D29:D33)</f>
        <v>0</v>
      </c>
      <c r="E34" s="246">
        <f t="shared" si="9"/>
        <v>680.99278568099976</v>
      </c>
      <c r="F34" s="246">
        <f t="shared" si="9"/>
        <v>633.52014626399978</v>
      </c>
      <c r="G34" s="246">
        <f t="shared" si="9"/>
        <v>627.9438219719998</v>
      </c>
      <c r="H34" s="246">
        <f t="shared" si="9"/>
        <v>621.20574501766396</v>
      </c>
      <c r="I34" s="246">
        <f t="shared" si="9"/>
        <v>616.2155016261712</v>
      </c>
      <c r="J34" s="246">
        <f t="shared" si="9"/>
        <v>609.74793345816943</v>
      </c>
      <c r="K34" s="246">
        <f t="shared" si="9"/>
        <v>602.7314598849407</v>
      </c>
      <c r="L34" s="246">
        <f t="shared" si="9"/>
        <v>591.39454966365611</v>
      </c>
      <c r="M34" s="246">
        <f t="shared" si="9"/>
        <v>581.31100578019539</v>
      </c>
      <c r="N34" s="246">
        <f t="shared" si="9"/>
        <v>567.60313441958397</v>
      </c>
    </row>
    <row r="35" spans="2:14">
      <c r="B35" s="186" t="s">
        <v>474</v>
      </c>
      <c r="D35" s="245">
        <f t="shared" ref="D35:N35" si="10">-IF(D17&gt;0,$D$4/$D$9,0)</f>
        <v>0</v>
      </c>
      <c r="E35" s="245">
        <f>-IF(E17&gt;0,$D$4/$D$9,0)</f>
        <v>-200</v>
      </c>
      <c r="F35" s="245">
        <f t="shared" si="10"/>
        <v>-200</v>
      </c>
      <c r="G35" s="245">
        <f t="shared" si="10"/>
        <v>-200</v>
      </c>
      <c r="H35" s="245">
        <f t="shared" si="10"/>
        <v>-200</v>
      </c>
      <c r="I35" s="245">
        <f t="shared" si="10"/>
        <v>-200</v>
      </c>
      <c r="J35" s="245">
        <f t="shared" si="10"/>
        <v>-200</v>
      </c>
      <c r="K35" s="245">
        <f t="shared" si="10"/>
        <v>-200</v>
      </c>
      <c r="L35" s="245">
        <f t="shared" si="10"/>
        <v>-200</v>
      </c>
      <c r="M35" s="245">
        <f t="shared" si="10"/>
        <v>-200</v>
      </c>
      <c r="N35" s="245">
        <f t="shared" si="10"/>
        <v>-200</v>
      </c>
    </row>
    <row r="36" spans="2:14">
      <c r="B36" s="186" t="s">
        <v>475</v>
      </c>
      <c r="D36" s="245">
        <f t="shared" ref="D36:N36" si="11">D34+D35</f>
        <v>0</v>
      </c>
      <c r="E36" s="245">
        <f>E34+E35</f>
        <v>480.99278568099976</v>
      </c>
      <c r="F36" s="245">
        <f t="shared" si="11"/>
        <v>433.52014626399978</v>
      </c>
      <c r="G36" s="245">
        <f t="shared" si="11"/>
        <v>427.9438219719998</v>
      </c>
      <c r="H36" s="245">
        <f t="shared" si="11"/>
        <v>421.20574501766396</v>
      </c>
      <c r="I36" s="245">
        <f t="shared" si="11"/>
        <v>416.2155016261712</v>
      </c>
      <c r="J36" s="245">
        <f t="shared" si="11"/>
        <v>409.74793345816943</v>
      </c>
      <c r="K36" s="245">
        <f t="shared" si="11"/>
        <v>402.7314598849407</v>
      </c>
      <c r="L36" s="245">
        <f t="shared" si="11"/>
        <v>391.39454966365611</v>
      </c>
      <c r="M36" s="245">
        <f t="shared" si="11"/>
        <v>381.31100578019539</v>
      </c>
      <c r="N36" s="245">
        <f t="shared" si="11"/>
        <v>367.60313441958397</v>
      </c>
    </row>
    <row r="37" spans="2:14">
      <c r="B37" s="186" t="s">
        <v>476</v>
      </c>
      <c r="D37" s="245">
        <f t="shared" ref="D37:N37" si="12">-$D$13*D36</f>
        <v>0</v>
      </c>
      <c r="E37" s="245">
        <f>-$D$13*E36</f>
        <v>-101.00848499300994</v>
      </c>
      <c r="F37" s="245">
        <f t="shared" si="12"/>
        <v>-91.039230715439956</v>
      </c>
      <c r="G37" s="245">
        <f t="shared" si="12"/>
        <v>-89.868202614119951</v>
      </c>
      <c r="H37" s="245">
        <f t="shared" si="12"/>
        <v>-88.453206453709427</v>
      </c>
      <c r="I37" s="245">
        <f t="shared" si="12"/>
        <v>-87.405255341495945</v>
      </c>
      <c r="J37" s="245">
        <f t="shared" si="12"/>
        <v>-86.047066026215575</v>
      </c>
      <c r="K37" s="245">
        <f t="shared" si="12"/>
        <v>-84.573606575837545</v>
      </c>
      <c r="L37" s="245">
        <f t="shared" si="12"/>
        <v>-82.192855429367782</v>
      </c>
      <c r="M37" s="245">
        <f t="shared" si="12"/>
        <v>-80.075311213841033</v>
      </c>
      <c r="N37" s="245">
        <f t="shared" si="12"/>
        <v>-77.196658228112625</v>
      </c>
    </row>
    <row r="38" spans="2:14">
      <c r="B38" s="186" t="s">
        <v>477</v>
      </c>
      <c r="D38" s="245">
        <f t="shared" ref="D38:N38" si="13">-IF(D$16&lt;2027+$D$11,$D$4/$D$11,0)</f>
        <v>-2000</v>
      </c>
      <c r="E38" s="245">
        <f t="shared" si="13"/>
        <v>0</v>
      </c>
      <c r="F38" s="245">
        <f t="shared" si="13"/>
        <v>0</v>
      </c>
      <c r="G38" s="245">
        <f t="shared" si="13"/>
        <v>0</v>
      </c>
      <c r="H38" s="245">
        <f t="shared" si="13"/>
        <v>0</v>
      </c>
      <c r="I38" s="245">
        <f t="shared" si="13"/>
        <v>0</v>
      </c>
      <c r="J38" s="245">
        <f t="shared" si="13"/>
        <v>0</v>
      </c>
      <c r="K38" s="245">
        <f t="shared" si="13"/>
        <v>0</v>
      </c>
      <c r="L38" s="245">
        <f t="shared" si="13"/>
        <v>0</v>
      </c>
      <c r="M38" s="245">
        <f t="shared" si="13"/>
        <v>0</v>
      </c>
      <c r="N38" s="245">
        <f t="shared" si="13"/>
        <v>0</v>
      </c>
    </row>
    <row r="39" spans="2:14">
      <c r="B39" s="186" t="s">
        <v>478</v>
      </c>
      <c r="D39" s="245">
        <f t="shared" ref="D39:N39" si="14">-IF(D$16=2027+$D$11+$D$9-1,$D$10,0)</f>
        <v>0</v>
      </c>
      <c r="E39" s="245">
        <f t="shared" si="14"/>
        <v>0</v>
      </c>
      <c r="F39" s="245">
        <f t="shared" si="14"/>
        <v>0</v>
      </c>
      <c r="G39" s="245">
        <f t="shared" si="14"/>
        <v>0</v>
      </c>
      <c r="H39" s="245">
        <f t="shared" si="14"/>
        <v>0</v>
      </c>
      <c r="I39" s="245">
        <f t="shared" si="14"/>
        <v>0</v>
      </c>
      <c r="J39" s="245">
        <f t="shared" si="14"/>
        <v>0</v>
      </c>
      <c r="K39" s="245">
        <f t="shared" si="14"/>
        <v>0</v>
      </c>
      <c r="L39" s="245">
        <f t="shared" si="14"/>
        <v>0</v>
      </c>
      <c r="M39" s="245">
        <f t="shared" si="14"/>
        <v>0</v>
      </c>
      <c r="N39" s="245">
        <f t="shared" si="14"/>
        <v>-200</v>
      </c>
    </row>
    <row r="40" spans="2:14">
      <c r="B40" s="190" t="s">
        <v>479</v>
      </c>
      <c r="D40" s="246">
        <f t="shared" ref="D40:N40" si="15">D34+D37+D38+D39</f>
        <v>-2000</v>
      </c>
      <c r="E40" s="246">
        <f>E34+E37+E38+E39</f>
        <v>579.98430068798984</v>
      </c>
      <c r="F40" s="246">
        <f t="shared" si="15"/>
        <v>542.48091554855978</v>
      </c>
      <c r="G40" s="246">
        <f t="shared" si="15"/>
        <v>538.07561935787987</v>
      </c>
      <c r="H40" s="246">
        <f t="shared" si="15"/>
        <v>532.75253856395454</v>
      </c>
      <c r="I40" s="246">
        <f t="shared" si="15"/>
        <v>528.81024628467526</v>
      </c>
      <c r="J40" s="246">
        <f t="shared" si="15"/>
        <v>523.70086743195384</v>
      </c>
      <c r="K40" s="246">
        <f t="shared" si="15"/>
        <v>518.15785330910319</v>
      </c>
      <c r="L40" s="246">
        <f t="shared" si="15"/>
        <v>509.20169423428831</v>
      </c>
      <c r="M40" s="246">
        <f t="shared" si="15"/>
        <v>501.23569456635437</v>
      </c>
      <c r="N40" s="246">
        <f t="shared" si="15"/>
        <v>290.40647619147137</v>
      </c>
    </row>
    <row r="41" spans="2:14">
      <c r="B41" s="186" t="s">
        <v>480</v>
      </c>
      <c r="D41" s="245">
        <f>-D18*$D$12*'WACC &amp; Inputs'!$C$5/1000</f>
        <v>0</v>
      </c>
      <c r="E41" s="245">
        <f>-E18*$D$12*'WACC &amp; Inputs'!$C$5/1000</f>
        <v>-32.85</v>
      </c>
      <c r="F41" s="245">
        <f>-F18*$D$12*'WACC &amp; Inputs'!$C$5/1000</f>
        <v>-32.85</v>
      </c>
      <c r="G41" s="245">
        <f>-G18*$D$12*'WACC &amp; Inputs'!$C$5/1000</f>
        <v>-32.85</v>
      </c>
      <c r="H41" s="245">
        <f>-H18*$D$12*'WACC &amp; Inputs'!$C$5/1000</f>
        <v>-32.788679999999999</v>
      </c>
      <c r="I41" s="245">
        <f>-I18*$D$12*'WACC &amp; Inputs'!$C$5/1000</f>
        <v>-32.819340000000004</v>
      </c>
      <c r="J41" s="245">
        <f>-J18*$D$12*'WACC &amp; Inputs'!$C$5/1000</f>
        <v>-32.771160000000002</v>
      </c>
      <c r="K41" s="245">
        <f>-K18*$D$12*'WACC &amp; Inputs'!$C$5/1000</f>
        <v>-32.692320000000002</v>
      </c>
      <c r="L41" s="245">
        <f>-L18*$D$12*'WACC &amp; Inputs'!$C$5/1000</f>
        <v>-32.679180000000002</v>
      </c>
      <c r="M41" s="245">
        <f>-M18*$D$12*'WACC &amp; Inputs'!$C$5/1000</f>
        <v>-32.73612</v>
      </c>
      <c r="N41" s="245">
        <f>-N18*$D$12*'WACC &amp; Inputs'!$C$5/1000</f>
        <v>-32.587199999999996</v>
      </c>
    </row>
    <row r="42" spans="2:14">
      <c r="B42" s="190" t="s">
        <v>277</v>
      </c>
      <c r="D42" s="246">
        <f t="shared" ref="D42:N42" si="16">D40+D41</f>
        <v>-2000</v>
      </c>
      <c r="E42" s="246">
        <f>E40+E41</f>
        <v>547.13430068798982</v>
      </c>
      <c r="F42" s="246">
        <f t="shared" si="16"/>
        <v>509.63091554855976</v>
      </c>
      <c r="G42" s="246">
        <f t="shared" si="16"/>
        <v>505.22561935787985</v>
      </c>
      <c r="H42" s="246">
        <f t="shared" si="16"/>
        <v>499.96385856395455</v>
      </c>
      <c r="I42" s="246">
        <f t="shared" si="16"/>
        <v>495.99090628467525</v>
      </c>
      <c r="J42" s="246">
        <f t="shared" si="16"/>
        <v>490.92970743195383</v>
      </c>
      <c r="K42" s="246">
        <f t="shared" si="16"/>
        <v>485.46553330910319</v>
      </c>
      <c r="L42" s="246">
        <f t="shared" si="16"/>
        <v>476.52251423428834</v>
      </c>
      <c r="M42" s="246">
        <f t="shared" si="16"/>
        <v>468.49957456635434</v>
      </c>
      <c r="N42" s="246">
        <f t="shared" si="16"/>
        <v>257.81927619147137</v>
      </c>
    </row>
    <row r="43" spans="2:14">
      <c r="B43" s="186" t="s">
        <v>481</v>
      </c>
      <c r="D43" s="247">
        <f t="shared" ref="D43:N43" si="17">1/(1+$D$14)^(D$16-2026)</f>
        <v>0.92047917588652794</v>
      </c>
      <c r="E43" s="247">
        <f t="shared" si="17"/>
        <v>0.84728191324074165</v>
      </c>
      <c r="F43" s="247">
        <f t="shared" si="17"/>
        <v>0.77990535724339849</v>
      </c>
      <c r="G43" s="247">
        <f t="shared" si="17"/>
        <v>0.71788664050489148</v>
      </c>
      <c r="H43" s="247">
        <f t="shared" si="17"/>
        <v>0.66079970323189063</v>
      </c>
      <c r="I43" s="247">
        <f t="shared" si="17"/>
        <v>0.608252366256953</v>
      </c>
      <c r="J43" s="247">
        <f t="shared" si="17"/>
        <v>0.55988363682323061</v>
      </c>
      <c r="K43" s="247">
        <f t="shared" si="17"/>
        <v>0.51536122861539935</v>
      </c>
      <c r="L43" s="247">
        <f t="shared" si="17"/>
        <v>0.47437927899977128</v>
      </c>
      <c r="M43" s="247">
        <f t="shared" si="17"/>
        <v>0.43665624779135476</v>
      </c>
      <c r="N43" s="247">
        <f t="shared" si="17"/>
        <v>0.40193298311268982</v>
      </c>
    </row>
    <row r="44" spans="2:14">
      <c r="B44" s="186" t="s">
        <v>482</v>
      </c>
      <c r="D44" s="245">
        <f>D42*D43</f>
        <v>-1840.9583517730559</v>
      </c>
      <c r="E44" s="245">
        <f t="shared" ref="D44:N44" si="18">E42*E43</f>
        <v>463.57699708655525</v>
      </c>
      <c r="F44" s="245">
        <f t="shared" si="18"/>
        <v>397.46388125317975</v>
      </c>
      <c r="G44" s="245">
        <f t="shared" si="18"/>
        <v>362.69472257783144</v>
      </c>
      <c r="H44" s="245">
        <f t="shared" si="18"/>
        <v>330.37596936573209</v>
      </c>
      <c r="I44" s="245">
        <f t="shared" si="18"/>
        <v>301.68764238958437</v>
      </c>
      <c r="J44" s="245">
        <f t="shared" si="18"/>
        <v>274.86351002156692</v>
      </c>
      <c r="K44" s="245">
        <f t="shared" si="18"/>
        <v>250.1901136966095</v>
      </c>
      <c r="L44" s="245">
        <f t="shared" si="18"/>
        <v>226.05240672961995</v>
      </c>
      <c r="M44" s="245">
        <f t="shared" si="18"/>
        <v>204.5732663219903</v>
      </c>
      <c r="N44" s="245">
        <f t="shared" si="18"/>
        <v>103.62607078359258</v>
      </c>
    </row>
    <row r="46" spans="2:14">
      <c r="B46" s="185" t="s">
        <v>483</v>
      </c>
      <c r="C46" s="185"/>
      <c r="D46" s="185"/>
    </row>
    <row r="47" spans="2:14">
      <c r="B47" s="190" t="s">
        <v>334</v>
      </c>
      <c r="D47" s="248">
        <f>SUM(D44:N44)</f>
        <v>1074.1462284532063</v>
      </c>
    </row>
    <row r="48" spans="2:14">
      <c r="B48" s="190" t="s">
        <v>282</v>
      </c>
      <c r="D48" s="249">
        <f>IRR(D42:N42,0.1)</f>
        <v>0.2132451869962817</v>
      </c>
    </row>
    <row r="49" spans="2:14">
      <c r="B49" s="186" t="s">
        <v>284</v>
      </c>
      <c r="D49" s="236">
        <f>D14</f>
        <v>8.6390682371368502E-2</v>
      </c>
    </row>
    <row r="50" spans="2:14">
      <c r="B50" s="186" t="s">
        <v>337</v>
      </c>
      <c r="D50" s="250">
        <f>D48-D49</f>
        <v>0.12685450462491321</v>
      </c>
    </row>
    <row r="51" spans="2:14">
      <c r="B51" s="186" t="s">
        <v>338</v>
      </c>
      <c r="D51" s="245">
        <f>SUMPRODUCT(D40:N40,D43:N43)</f>
        <v>1270.9021157821978</v>
      </c>
    </row>
    <row r="53" spans="2:14">
      <c r="B53" s="185" t="s">
        <v>484</v>
      </c>
      <c r="C53" s="185"/>
      <c r="D53" s="185"/>
      <c r="E53" s="185"/>
      <c r="F53" s="185"/>
      <c r="G53" s="185"/>
      <c r="H53" s="185"/>
      <c r="I53" s="185"/>
      <c r="J53" s="185"/>
      <c r="K53" s="185"/>
      <c r="L53" s="185"/>
      <c r="M53" s="185"/>
      <c r="N53" s="185"/>
    </row>
    <row r="54" spans="2:14">
      <c r="B54" s="186" t="s">
        <v>485</v>
      </c>
      <c r="D54" s="229">
        <f>'Exhibit 2'!$E$76*(1+'Exhibit 12'!$D$5)^(D$16-2026)</f>
        <v>15810.5</v>
      </c>
      <c r="E54" s="229">
        <f>'Exhibit 2'!$E$76*(1+'Exhibit 12'!$D$5)^(E$16-2026)</f>
        <v>16284.814999999999</v>
      </c>
      <c r="F54" s="229">
        <f>'Exhibit 2'!$E$76*(1+'Exhibit 12'!$D$5)^(F$16-2026)</f>
        <v>16773.35945</v>
      </c>
      <c r="G54" s="229">
        <f>'Exhibit 2'!$E$76*(1+'Exhibit 12'!$D$5)^(G$16-2026)</f>
        <v>17276.5602335</v>
      </c>
      <c r="H54" s="229">
        <f>'Exhibit 2'!$E$76*(1+'Exhibit 12'!$D$5)^(H$16-2026)</f>
        <v>17794.857040504998</v>
      </c>
      <c r="I54" s="229">
        <f>'Exhibit 2'!$E$76*(1+'Exhibit 12'!$D$5)^(I$16-2026)</f>
        <v>18328.70275172015</v>
      </c>
      <c r="J54" s="229">
        <f>'Exhibit 2'!$E$76*(1+'Exhibit 12'!$D$5)^(J$16-2026)</f>
        <v>18878.563834271754</v>
      </c>
      <c r="K54" s="229">
        <f>'Exhibit 2'!$E$76*(1+'Exhibit 12'!$D$5)^(K$16-2026)</f>
        <v>19444.920749299905</v>
      </c>
      <c r="L54" s="229">
        <f>'Exhibit 2'!$E$76*(1+'Exhibit 12'!$D$5)^(L$16-2026)</f>
        <v>20028.268371778904</v>
      </c>
      <c r="M54" s="229">
        <f>'Exhibit 2'!$E$76*(1+'Exhibit 12'!$D$5)^(M$16-2026)</f>
        <v>20629.116422932268</v>
      </c>
      <c r="N54" s="229">
        <f>'Exhibit 2'!$E$76*(1+'Exhibit 12'!$D$5)^(N$16-2026)</f>
        <v>21247.989915620237</v>
      </c>
    </row>
    <row r="55" spans="2:14">
      <c r="B55" s="186" t="s">
        <v>303</v>
      </c>
      <c r="D55" s="245">
        <f t="shared" ref="D55:N55" si="19">D34</f>
        <v>0</v>
      </c>
      <c r="E55" s="245">
        <f>E34</f>
        <v>680.99278568099976</v>
      </c>
      <c r="F55" s="245">
        <f t="shared" si="19"/>
        <v>633.52014626399978</v>
      </c>
      <c r="G55" s="245">
        <f t="shared" si="19"/>
        <v>627.9438219719998</v>
      </c>
      <c r="H55" s="245">
        <f t="shared" si="19"/>
        <v>621.20574501766396</v>
      </c>
      <c r="I55" s="245">
        <f t="shared" si="19"/>
        <v>616.2155016261712</v>
      </c>
      <c r="J55" s="245">
        <f t="shared" si="19"/>
        <v>609.74793345816943</v>
      </c>
      <c r="K55" s="245">
        <f t="shared" si="19"/>
        <v>602.7314598849407</v>
      </c>
      <c r="L55" s="245">
        <f t="shared" si="19"/>
        <v>591.39454966365611</v>
      </c>
      <c r="M55" s="245">
        <f t="shared" si="19"/>
        <v>581.31100578019539</v>
      </c>
      <c r="N55" s="245">
        <f t="shared" si="19"/>
        <v>567.60313441958397</v>
      </c>
    </row>
    <row r="56" spans="2:14">
      <c r="B56" s="190" t="s">
        <v>226</v>
      </c>
      <c r="D56" s="246">
        <f>D54+D55</f>
        <v>15810.5</v>
      </c>
      <c r="E56" s="246">
        <f>E54+E55</f>
        <v>16965.807785680998</v>
      </c>
      <c r="F56" s="246">
        <f t="shared" ref="D56:N56" si="20">F54+F55</f>
        <v>17406.879596264</v>
      </c>
      <c r="G56" s="246">
        <f t="shared" si="20"/>
        <v>17904.504055472</v>
      </c>
      <c r="H56" s="246">
        <f>H54+H55</f>
        <v>18416.062785522663</v>
      </c>
      <c r="I56" s="246">
        <f t="shared" si="20"/>
        <v>18944.918253346321</v>
      </c>
      <c r="J56" s="246">
        <f t="shared" si="20"/>
        <v>19488.311767729923</v>
      </c>
      <c r="K56" s="246">
        <f t="shared" si="20"/>
        <v>20047.652209184846</v>
      </c>
      <c r="L56" s="246">
        <f t="shared" si="20"/>
        <v>20619.662921442559</v>
      </c>
      <c r="M56" s="246">
        <f t="shared" si="20"/>
        <v>21210.427428712464</v>
      </c>
      <c r="N56" s="246">
        <f t="shared" si="20"/>
        <v>21815.593050039821</v>
      </c>
    </row>
    <row r="57" spans="2:14">
      <c r="B57" s="186" t="s">
        <v>305</v>
      </c>
      <c r="D57" s="229">
        <f>'Exhibit 2'!$E$73</f>
        <v>24318</v>
      </c>
      <c r="E57" s="245">
        <f>D61</f>
        <v>25870.9</v>
      </c>
      <c r="F57" s="245">
        <f t="shared" ref="E57:N57" si="21">E61</f>
        <v>24853.460699312011</v>
      </c>
      <c r="G57" s="245">
        <f t="shared" si="21"/>
        <v>23884.612033763453</v>
      </c>
      <c r="H57" s="245">
        <f t="shared" si="21"/>
        <v>22932.799076905576</v>
      </c>
      <c r="I57" s="245">
        <f t="shared" si="21"/>
        <v>22000.589597966624</v>
      </c>
      <c r="J57" s="245">
        <f t="shared" si="21"/>
        <v>21088.365846208198</v>
      </c>
      <c r="K57" s="245">
        <f t="shared" si="21"/>
        <v>20199.177568406405</v>
      </c>
      <c r="L57" s="245">
        <f t="shared" si="21"/>
        <v>19335.467607697901</v>
      </c>
      <c r="M57" s="245">
        <f t="shared" si="21"/>
        <v>18502.79216438784</v>
      </c>
      <c r="N57" s="245">
        <f t="shared" si="21"/>
        <v>17702.445675896321</v>
      </c>
    </row>
    <row r="58" spans="2:14">
      <c r="B58" s="186" t="s">
        <v>486</v>
      </c>
      <c r="D58" s="229">
        <f>'Exhibit 12'!$D$8*(1+'Exhibit 12'!$D$6)^(D$16-2027)</f>
        <v>1600</v>
      </c>
      <c r="E58" s="229">
        <f>'Exhibit 12'!$D$8*(1+'Exhibit 12'!$D$6)^(E$16-2027)</f>
        <v>1648</v>
      </c>
      <c r="F58" s="229">
        <f>'Exhibit 12'!$D$8*(1+'Exhibit 12'!$D$6)^(F$16-2027)</f>
        <v>1697.4399999999998</v>
      </c>
      <c r="G58" s="229">
        <f>'Exhibit 12'!$D$8*(1+'Exhibit 12'!$D$6)^(G$16-2027)</f>
        <v>1748.3632</v>
      </c>
      <c r="H58" s="229">
        <f>'Exhibit 12'!$D$8*(1+'Exhibit 12'!$D$6)^(H$16-2027)</f>
        <v>1800.8140959999998</v>
      </c>
      <c r="I58" s="229">
        <f>'Exhibit 12'!$D$8*(1+'Exhibit 12'!$D$6)^(I$16-2027)</f>
        <v>1854.8385188799998</v>
      </c>
      <c r="J58" s="229">
        <f>'Exhibit 12'!$D$8*(1+'Exhibit 12'!$D$6)^(J$16-2027)</f>
        <v>1910.4836744463998</v>
      </c>
      <c r="K58" s="229">
        <f>'Exhibit 12'!$D$8*(1+'Exhibit 12'!$D$6)^(K$16-2027)</f>
        <v>1967.798184679792</v>
      </c>
      <c r="L58" s="229">
        <f>'Exhibit 12'!$D$8*(1+'Exhibit 12'!$D$6)^(L$16-2027)</f>
        <v>2026.8321302201855</v>
      </c>
      <c r="M58" s="229">
        <f>'Exhibit 12'!$D$8*(1+'Exhibit 12'!$D$6)^(M$16-2027)</f>
        <v>2087.637094126791</v>
      </c>
      <c r="N58" s="229">
        <f>'Exhibit 12'!$D$8*(1+'Exhibit 12'!$D$6)^(N$16-2027)</f>
        <v>2150.266206950595</v>
      </c>
    </row>
    <row r="59" spans="2:14">
      <c r="B59" s="186" t="s">
        <v>487</v>
      </c>
      <c r="D59" s="229">
        <f>-'Exhibit 2'!$E$64*(1+'Exhibit 12'!$D$7)^(D$16-2026)</f>
        <v>1152.9000000000001</v>
      </c>
      <c r="E59" s="229">
        <f>-'Exhibit 2'!$E$64*(1+'Exhibit 12'!$D$7)^(E$16-2026)</f>
        <v>1210.5450000000001</v>
      </c>
      <c r="F59" s="229">
        <f>-'Exhibit 2'!$E$64*(1+'Exhibit 12'!$D$7)^(F$16-2026)</f>
        <v>1271.0722500000002</v>
      </c>
      <c r="G59" s="229">
        <f>-'Exhibit 2'!$E$64*(1+'Exhibit 12'!$D$7)^(G$16-2026)</f>
        <v>1334.6258625</v>
      </c>
      <c r="H59" s="229">
        <f>-'Exhibit 2'!$E$64*(1+'Exhibit 12'!$D$7)^(H$16-2026)</f>
        <v>1401.3571556250001</v>
      </c>
      <c r="I59" s="229">
        <f>-'Exhibit 2'!$E$64*(1+'Exhibit 12'!$D$7)^(I$16-2026)</f>
        <v>1471.4250134062499</v>
      </c>
      <c r="J59" s="229">
        <f>-'Exhibit 2'!$E$64*(1+'Exhibit 12'!$D$7)^(J$16-2026)</f>
        <v>1544.9962640765627</v>
      </c>
      <c r="K59" s="229">
        <f>-'Exhibit 2'!$E$64*(1+'Exhibit 12'!$D$7)^(K$16-2026)</f>
        <v>1622.2460772803906</v>
      </c>
      <c r="L59" s="229">
        <f>-'Exhibit 2'!$E$64*(1+'Exhibit 12'!$D$7)^(L$16-2026)</f>
        <v>1703.3583811444103</v>
      </c>
      <c r="M59" s="229">
        <f>-'Exhibit 2'!$E$64*(1+'Exhibit 12'!$D$7)^(M$16-2026)</f>
        <v>1788.5263002016309</v>
      </c>
      <c r="N59" s="229">
        <f>-'Exhibit 2'!$E$64*(1+'Exhibit 12'!$D$7)^(N$16-2026)</f>
        <v>1877.9526152117126</v>
      </c>
    </row>
    <row r="60" spans="2:14">
      <c r="B60" s="186" t="s">
        <v>311</v>
      </c>
      <c r="D60" s="245">
        <f t="shared" ref="D60:N60" si="22">D40</f>
        <v>-2000</v>
      </c>
      <c r="E60" s="245">
        <f>E40</f>
        <v>579.98430068798984</v>
      </c>
      <c r="F60" s="245">
        <f t="shared" si="22"/>
        <v>542.48091554855978</v>
      </c>
      <c r="G60" s="245">
        <f t="shared" si="22"/>
        <v>538.07561935787987</v>
      </c>
      <c r="H60" s="245">
        <f t="shared" si="22"/>
        <v>532.75253856395454</v>
      </c>
      <c r="I60" s="245">
        <f t="shared" si="22"/>
        <v>528.81024628467526</v>
      </c>
      <c r="J60" s="245">
        <f t="shared" si="22"/>
        <v>523.70086743195384</v>
      </c>
      <c r="K60" s="245">
        <f t="shared" si="22"/>
        <v>518.15785330910319</v>
      </c>
      <c r="L60" s="245">
        <f t="shared" si="22"/>
        <v>509.20169423428831</v>
      </c>
      <c r="M60" s="245">
        <f t="shared" si="22"/>
        <v>501.23569456635437</v>
      </c>
      <c r="N60" s="245">
        <f t="shared" si="22"/>
        <v>290.40647619147137</v>
      </c>
    </row>
    <row r="61" spans="2:14">
      <c r="B61" s="190" t="s">
        <v>313</v>
      </c>
      <c r="D61" s="246">
        <f>D57-D58+D59-D60</f>
        <v>25870.9</v>
      </c>
      <c r="E61" s="246">
        <f>E57-E58+E59-E60</f>
        <v>24853.460699312011</v>
      </c>
      <c r="F61" s="246">
        <f>F57-F58+F59-F60</f>
        <v>23884.612033763453</v>
      </c>
      <c r="G61" s="246">
        <f>G57-G58+G59-G60</f>
        <v>22932.799076905576</v>
      </c>
      <c r="H61" s="246">
        <f t="shared" ref="D61:N61" si="23">H57-H58+H59-H60</f>
        <v>22000.589597966624</v>
      </c>
      <c r="I61" s="246">
        <f t="shared" si="23"/>
        <v>21088.365846208198</v>
      </c>
      <c r="J61" s="246">
        <f t="shared" si="23"/>
        <v>20199.177568406405</v>
      </c>
      <c r="K61" s="246">
        <f t="shared" si="23"/>
        <v>19335.467607697901</v>
      </c>
      <c r="L61" s="246">
        <f t="shared" si="23"/>
        <v>18502.79216438784</v>
      </c>
      <c r="M61" s="246">
        <f t="shared" si="23"/>
        <v>17702.445675896321</v>
      </c>
      <c r="N61" s="246">
        <f t="shared" si="23"/>
        <v>17139.725607965967</v>
      </c>
    </row>
    <row r="62" spans="2:14">
      <c r="B62" s="190" t="s">
        <v>315</v>
      </c>
      <c r="D62" s="251">
        <f>D61/D56</f>
        <v>1.6363113121027166</v>
      </c>
      <c r="E62" s="251">
        <f t="shared" ref="D62:N62" si="24">E61/E56</f>
        <v>1.4649146691552244</v>
      </c>
      <c r="F62" s="251">
        <f t="shared" si="24"/>
        <v>1.3721363384905445</v>
      </c>
      <c r="G62" s="251">
        <f t="shared" si="24"/>
        <v>1.2808396706133183</v>
      </c>
      <c r="H62" s="251">
        <f t="shared" si="24"/>
        <v>1.1946413223168335</v>
      </c>
      <c r="I62" s="251">
        <f t="shared" si="24"/>
        <v>1.1131410314997412</v>
      </c>
      <c r="J62" s="251">
        <f t="shared" si="24"/>
        <v>1.0364765203445474</v>
      </c>
      <c r="K62" s="251">
        <f t="shared" si="24"/>
        <v>0.96447541118252955</v>
      </c>
      <c r="L62" s="251">
        <f t="shared" si="24"/>
        <v>0.89733727631146831</v>
      </c>
      <c r="M62" s="251">
        <f t="shared" si="24"/>
        <v>0.83461051105139894</v>
      </c>
      <c r="N62" s="251">
        <f>N61/N56</f>
        <v>0.78566397753439399</v>
      </c>
    </row>
    <row r="63" spans="2:14">
      <c r="B63" s="186" t="s">
        <v>233</v>
      </c>
      <c r="D63" s="223">
        <f>'WACC &amp; Inputs'!$C$9</f>
        <v>1.75</v>
      </c>
      <c r="E63" s="223">
        <f>'WACC &amp; Inputs'!$C$9</f>
        <v>1.75</v>
      </c>
      <c r="F63" s="223">
        <f>'WACC &amp; Inputs'!$C$9</f>
        <v>1.75</v>
      </c>
      <c r="G63" s="223">
        <f>'WACC &amp; Inputs'!$C$9</f>
        <v>1.75</v>
      </c>
      <c r="H63" s="223">
        <f>'WACC &amp; Inputs'!$C$9</f>
        <v>1.75</v>
      </c>
      <c r="I63" s="223">
        <f>'WACC &amp; Inputs'!$C$9</f>
        <v>1.75</v>
      </c>
      <c r="J63" s="223">
        <f>'WACC &amp; Inputs'!$C$9</f>
        <v>1.75</v>
      </c>
      <c r="K63" s="223">
        <f>'WACC &amp; Inputs'!$C$9</f>
        <v>1.75</v>
      </c>
      <c r="L63" s="223">
        <f>'WACC &amp; Inputs'!$C$9</f>
        <v>1.75</v>
      </c>
      <c r="M63" s="223">
        <f>'WACC &amp; Inputs'!$C$9</f>
        <v>1.75</v>
      </c>
      <c r="N63" s="223">
        <f>'WACC &amp; Inputs'!$C$9</f>
        <v>1.75</v>
      </c>
    </row>
    <row r="64" spans="2:14">
      <c r="B64" s="186" t="s">
        <v>488</v>
      </c>
      <c r="D64" s="245">
        <f>D63*D56-D61</f>
        <v>1797.4749999999985</v>
      </c>
      <c r="E64" s="245">
        <f t="shared" ref="D64:N64" si="25">E63*E56-E61</f>
        <v>4836.7029256297355</v>
      </c>
      <c r="F64" s="245">
        <f t="shared" si="25"/>
        <v>6577.4272596985465</v>
      </c>
      <c r="G64" s="245">
        <f t="shared" si="25"/>
        <v>8400.083020170423</v>
      </c>
      <c r="H64" s="245">
        <f>H63*H56-H61</f>
        <v>10227.520276698036</v>
      </c>
      <c r="I64" s="245">
        <f t="shared" si="25"/>
        <v>12065.241097147864</v>
      </c>
      <c r="J64" s="245">
        <f t="shared" si="25"/>
        <v>13905.368025120959</v>
      </c>
      <c r="K64" s="245">
        <f t="shared" si="25"/>
        <v>15747.923758375582</v>
      </c>
      <c r="L64" s="245">
        <f t="shared" si="25"/>
        <v>17581.617948136638</v>
      </c>
      <c r="M64" s="245">
        <f t="shared" si="25"/>
        <v>19415.802324350494</v>
      </c>
      <c r="N64" s="245">
        <f>N63*N56-N61</f>
        <v>21037.562229603722</v>
      </c>
    </row>
    <row r="65" spans="2:14">
      <c r="B65" s="190" t="s">
        <v>320</v>
      </c>
      <c r="D65" s="193" t="str">
        <f t="shared" ref="D65:N65" si="26">IF(D62&lt;=D63,"PASS","BREACH")</f>
        <v>PASS</v>
      </c>
      <c r="E65" s="193" t="str">
        <f t="shared" si="26"/>
        <v>PASS</v>
      </c>
      <c r="F65" s="193" t="str">
        <f t="shared" si="26"/>
        <v>PASS</v>
      </c>
      <c r="G65" s="193" t="str">
        <f t="shared" si="26"/>
        <v>PASS</v>
      </c>
      <c r="H65" s="193" t="str">
        <f t="shared" si="26"/>
        <v>PASS</v>
      </c>
      <c r="I65" s="193" t="str">
        <f t="shared" si="26"/>
        <v>PASS</v>
      </c>
      <c r="J65" s="193" t="str">
        <f t="shared" si="26"/>
        <v>PASS</v>
      </c>
      <c r="K65" s="193" t="str">
        <f t="shared" si="26"/>
        <v>PASS</v>
      </c>
      <c r="L65" s="193" t="str">
        <f t="shared" si="26"/>
        <v>PASS</v>
      </c>
      <c r="M65" s="193" t="str">
        <f t="shared" si="26"/>
        <v>PASS</v>
      </c>
      <c r="N65" s="193" t="str">
        <f t="shared" si="26"/>
        <v>PASS</v>
      </c>
    </row>
    <row r="66" spans="2:14">
      <c r="B66" s="186" t="s">
        <v>489</v>
      </c>
      <c r="D66" s="252">
        <f>(D58+D40)/D59</f>
        <v>-0.34695116662329772</v>
      </c>
      <c r="E66" s="252">
        <f>(E58+E40)/E59</f>
        <v>1.8404803627192627</v>
      </c>
      <c r="F66" s="252">
        <f t="shared" ref="D66:N66" si="27">(F58+F40)/F59</f>
        <v>1.7622294213004488</v>
      </c>
      <c r="G66" s="252">
        <f t="shared" si="27"/>
        <v>1.7131683744498691</v>
      </c>
      <c r="H66" s="252">
        <f t="shared" si="27"/>
        <v>1.6652190522573755</v>
      </c>
      <c r="I66" s="252">
        <f t="shared" si="27"/>
        <v>1.6199593886518813</v>
      </c>
      <c r="J66" s="252">
        <f t="shared" si="27"/>
        <v>1.5755277850676583</v>
      </c>
      <c r="K66" s="252">
        <f t="shared" si="27"/>
        <v>1.5324161191108987</v>
      </c>
      <c r="L66" s="252">
        <f t="shared" si="27"/>
        <v>1.4888433652762056</v>
      </c>
      <c r="M66" s="252">
        <f t="shared" si="27"/>
        <v>1.4474893594806446</v>
      </c>
      <c r="N66" s="252">
        <f>(N58+N40)/N59</f>
        <v>1.2996455093553654</v>
      </c>
    </row>
    <row r="68" spans="2:14">
      <c r="B68" s="184" t="s">
        <v>490</v>
      </c>
    </row>
  </sheetData>
  <conditionalFormatting sqref="D62:N62">
    <cfRule type="expression" dxfId="11" priority="2">
      <formula>D62&gt;D63</formula>
    </cfRule>
  </conditionalFormatting>
  <conditionalFormatting sqref="D64:N64">
    <cfRule type="cellIs" dxfId="10" priority="5" operator="lessThan">
      <formula>0</formula>
    </cfRule>
  </conditionalFormatting>
  <conditionalFormatting sqref="D65:N65">
    <cfRule type="cellIs" dxfId="9" priority="3" operator="equal">
      <formula>"BREACH"</formula>
    </cfRule>
    <cfRule type="cellIs" dxfId="8" priority="4" operator="equal">
      <formula>"PASS"</formula>
    </cfRule>
  </conditionalFormatting>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B1:U68"/>
  <sheetViews>
    <sheetView showGridLines="0" topLeftCell="A40" zoomScaleNormal="100" workbookViewId="0">
      <pane xSplit="3" topLeftCell="D44" activePane="topRight" state="frozen"/>
      <selection pane="topRight" activeCell="E62" sqref="E62"/>
    </sheetView>
  </sheetViews>
  <sheetFormatPr defaultColWidth="8.42578125" defaultRowHeight="15"/>
  <cols>
    <col min="1" max="1" width="2" customWidth="1"/>
    <col min="2" max="2" width="58" customWidth="1"/>
    <col min="3" max="3" width="2" customWidth="1"/>
    <col min="4" max="5" width="11" customWidth="1"/>
    <col min="6" max="6" width="15.28515625" customWidth="1"/>
    <col min="7" max="21" width="11" customWidth="1"/>
  </cols>
  <sheetData>
    <row r="1" spans="2:21" ht="18">
      <c r="B1" s="183" t="s">
        <v>491</v>
      </c>
    </row>
    <row r="2" spans="2:21">
      <c r="B2" s="184" t="s">
        <v>449</v>
      </c>
    </row>
    <row r="3" spans="2:21">
      <c r="B3" s="185" t="s">
        <v>450</v>
      </c>
      <c r="C3" s="185"/>
      <c r="D3" s="185"/>
    </row>
    <row r="4" spans="2:21">
      <c r="B4" s="186" t="s">
        <v>451</v>
      </c>
      <c r="D4" s="229">
        <f>'Exhibit 1'!C22*1000</f>
        <v>5000</v>
      </c>
    </row>
    <row r="5" spans="2:21">
      <c r="B5" s="186" t="s">
        <v>452</v>
      </c>
      <c r="D5" s="234">
        <f>'Exhibit 1'!C23</f>
        <v>0.3</v>
      </c>
    </row>
    <row r="6" spans="2:21">
      <c r="B6" s="186" t="s">
        <v>453</v>
      </c>
      <c r="D6" s="239">
        <f>'Exhibit 1'!C24</f>
        <v>14</v>
      </c>
    </row>
    <row r="7" spans="2:21">
      <c r="B7" s="186" t="s">
        <v>454</v>
      </c>
      <c r="D7" s="239">
        <f>'Exhibit 1'!C25</f>
        <v>3.5</v>
      </c>
    </row>
    <row r="8" spans="2:21">
      <c r="B8" s="186" t="s">
        <v>455</v>
      </c>
      <c r="D8" s="239">
        <f>'Exhibit 1'!C27</f>
        <v>7</v>
      </c>
    </row>
    <row r="9" spans="2:21">
      <c r="B9" s="186" t="s">
        <v>456</v>
      </c>
      <c r="D9" s="240">
        <f>'Exhibit 1'!C26</f>
        <v>15</v>
      </c>
    </row>
    <row r="10" spans="2:21">
      <c r="B10" s="186" t="s">
        <v>457</v>
      </c>
      <c r="D10" s="229">
        <f>'Exhibit 1'!C28</f>
        <v>350</v>
      </c>
    </row>
    <row r="11" spans="2:21">
      <c r="B11" s="186" t="s">
        <v>458</v>
      </c>
      <c r="D11" s="240">
        <f>'Exhibit 1'!C29</f>
        <v>3</v>
      </c>
    </row>
    <row r="12" spans="2:21">
      <c r="B12" s="186" t="s">
        <v>459</v>
      </c>
      <c r="D12" s="240">
        <f>'Exhibit 10'!E5</f>
        <v>19</v>
      </c>
    </row>
    <row r="13" spans="2:21">
      <c r="B13" s="186" t="s">
        <v>408</v>
      </c>
      <c r="D13" s="225">
        <f>'WACC &amp; Inputs'!$C$11</f>
        <v>0.21</v>
      </c>
    </row>
    <row r="14" spans="2:21">
      <c r="B14" s="186" t="s">
        <v>284</v>
      </c>
      <c r="D14" s="235">
        <f>'WACC &amp; Inputs'!G47</f>
        <v>0.12596170748395533</v>
      </c>
    </row>
    <row r="16" spans="2:21">
      <c r="B16" s="185" t="s">
        <v>223</v>
      </c>
      <c r="C16" s="185"/>
      <c r="D16" s="241">
        <v>2027</v>
      </c>
      <c r="E16" s="241">
        <f t="shared" ref="E16:U16" si="0">D16+1</f>
        <v>2028</v>
      </c>
      <c r="F16" s="241">
        <f t="shared" si="0"/>
        <v>2029</v>
      </c>
      <c r="G16" s="241">
        <f t="shared" si="0"/>
        <v>2030</v>
      </c>
      <c r="H16" s="241">
        <f t="shared" si="0"/>
        <v>2031</v>
      </c>
      <c r="I16" s="241">
        <f t="shared" si="0"/>
        <v>2032</v>
      </c>
      <c r="J16" s="241">
        <f t="shared" si="0"/>
        <v>2033</v>
      </c>
      <c r="K16" s="241">
        <f t="shared" si="0"/>
        <v>2034</v>
      </c>
      <c r="L16" s="241">
        <f t="shared" si="0"/>
        <v>2035</v>
      </c>
      <c r="M16" s="241">
        <f t="shared" si="0"/>
        <v>2036</v>
      </c>
      <c r="N16" s="241">
        <f t="shared" si="0"/>
        <v>2037</v>
      </c>
      <c r="O16" s="241">
        <f t="shared" si="0"/>
        <v>2038</v>
      </c>
      <c r="P16" s="241">
        <f t="shared" si="0"/>
        <v>2039</v>
      </c>
      <c r="Q16" s="241">
        <f t="shared" si="0"/>
        <v>2040</v>
      </c>
      <c r="R16" s="241">
        <f t="shared" si="0"/>
        <v>2041</v>
      </c>
      <c r="S16" s="241">
        <f t="shared" si="0"/>
        <v>2042</v>
      </c>
      <c r="T16" s="241">
        <f t="shared" si="0"/>
        <v>2043</v>
      </c>
      <c r="U16" s="241">
        <f t="shared" si="0"/>
        <v>2044</v>
      </c>
    </row>
    <row r="17" spans="2:21">
      <c r="B17" s="186" t="s">
        <v>460</v>
      </c>
      <c r="D17" s="242">
        <f>'Exhibit 6'!D5</f>
        <v>0</v>
      </c>
      <c r="E17" s="242">
        <f>'Exhibit 6'!E5</f>
        <v>0</v>
      </c>
      <c r="F17" s="242">
        <f>'Exhibit 6'!F5</f>
        <v>0</v>
      </c>
      <c r="G17" s="242">
        <f>'Exhibit 6'!G5</f>
        <v>150</v>
      </c>
      <c r="H17" s="242">
        <f>'Exhibit 6'!H5</f>
        <v>150</v>
      </c>
      <c r="I17" s="242">
        <f>'Exhibit 6'!I5</f>
        <v>150</v>
      </c>
      <c r="J17" s="242">
        <f>'Exhibit 6'!J5</f>
        <v>150</v>
      </c>
      <c r="K17" s="242">
        <f>'Exhibit 6'!K5</f>
        <v>150</v>
      </c>
      <c r="L17" s="242">
        <f>'Exhibit 6'!L5</f>
        <v>150</v>
      </c>
      <c r="M17" s="242">
        <f>'Exhibit 6'!M5</f>
        <v>150</v>
      </c>
      <c r="N17" s="242">
        <f>'Exhibit 6'!N5</f>
        <v>99.48</v>
      </c>
      <c r="O17" s="242">
        <f>'Exhibit 6'!O5</f>
        <v>99.66</v>
      </c>
      <c r="P17" s="242">
        <f>'Exhibit 6'!P5</f>
        <v>99.2</v>
      </c>
      <c r="Q17" s="242">
        <f>'Exhibit 6'!Q5</f>
        <v>80.5</v>
      </c>
      <c r="R17" s="242">
        <f>'Exhibit 6'!R5</f>
        <v>50.55</v>
      </c>
      <c r="S17" s="242">
        <f>'Exhibit 6'!S5</f>
        <v>25.08</v>
      </c>
      <c r="T17" s="242">
        <f>'Exhibit 6'!T5</f>
        <v>25.78</v>
      </c>
      <c r="U17" s="242">
        <f>'Exhibit 6'!U5</f>
        <v>27.61</v>
      </c>
    </row>
    <row r="18" spans="2:21">
      <c r="B18" s="186" t="s">
        <v>461</v>
      </c>
      <c r="D18" s="243">
        <f>D17*1000*'WACC &amp; Inputs'!$C$8/1000000</f>
        <v>0</v>
      </c>
      <c r="E18" s="243">
        <f>E17*1000*'WACC &amp; Inputs'!$C$8/1000000</f>
        <v>0</v>
      </c>
      <c r="F18" s="243">
        <f>F17*1000*'WACC &amp; Inputs'!$C$8/1000000</f>
        <v>0</v>
      </c>
      <c r="G18" s="243">
        <f>G17*1000*'WACC &amp; Inputs'!$C$8/1000000</f>
        <v>54.75</v>
      </c>
      <c r="H18" s="243">
        <f>H17*1000*'WACC &amp; Inputs'!$C$8/1000000</f>
        <v>54.75</v>
      </c>
      <c r="I18" s="243">
        <f>I17*1000*'WACC &amp; Inputs'!$C$8/1000000</f>
        <v>54.75</v>
      </c>
      <c r="J18" s="243">
        <f>J17*1000*'WACC &amp; Inputs'!$C$8/1000000</f>
        <v>54.75</v>
      </c>
      <c r="K18" s="243">
        <f>K17*1000*'WACC &amp; Inputs'!$C$8/1000000</f>
        <v>54.75</v>
      </c>
      <c r="L18" s="243">
        <f>L17*1000*'WACC &amp; Inputs'!$C$8/1000000</f>
        <v>54.75</v>
      </c>
      <c r="M18" s="243">
        <f>M17*1000*'WACC &amp; Inputs'!$C$8/1000000</f>
        <v>54.75</v>
      </c>
      <c r="N18" s="243">
        <f>N17*1000*'WACC &amp; Inputs'!$C$8/1000000</f>
        <v>36.310200000000002</v>
      </c>
      <c r="O18" s="243">
        <f>O17*1000*'WACC &amp; Inputs'!$C$8/1000000</f>
        <v>36.375900000000001</v>
      </c>
      <c r="P18" s="243">
        <f>P17*1000*'WACC &amp; Inputs'!$C$8/1000000</f>
        <v>36.207999999999998</v>
      </c>
      <c r="Q18" s="243">
        <f>Q17*1000*'WACC &amp; Inputs'!$C$8/1000000</f>
        <v>29.3825</v>
      </c>
      <c r="R18" s="243">
        <f>R17*1000*'WACC &amp; Inputs'!$C$8/1000000</f>
        <v>18.450749999999999</v>
      </c>
      <c r="S18" s="243">
        <f>S17*1000*'WACC &amp; Inputs'!$C$8/1000000</f>
        <v>9.1541999999999994</v>
      </c>
      <c r="T18" s="243">
        <f>T17*1000*'WACC &amp; Inputs'!$C$8/1000000</f>
        <v>9.4097000000000008</v>
      </c>
      <c r="U18" s="243">
        <f>U17*1000*'WACC &amp; Inputs'!$C$8/1000000</f>
        <v>10.07765</v>
      </c>
    </row>
    <row r="19" spans="2:21">
      <c r="B19" s="186" t="s">
        <v>462</v>
      </c>
      <c r="D19" s="234">
        <f>'Exhibit 8'!E8</f>
        <v>0</v>
      </c>
      <c r="E19" s="234">
        <f>'Exhibit 8'!F8</f>
        <v>0</v>
      </c>
      <c r="F19" s="234">
        <f>'Exhibit 8'!G8</f>
        <v>0</v>
      </c>
      <c r="G19" s="234">
        <f>'Exhibit 8'!H8</f>
        <v>0.35</v>
      </c>
      <c r="H19" s="234">
        <f>'Exhibit 8'!I8</f>
        <v>0.34</v>
      </c>
      <c r="I19" s="234">
        <f>'Exhibit 8'!J8</f>
        <v>0.33</v>
      </c>
      <c r="J19" s="234">
        <f>'Exhibit 8'!K8</f>
        <v>0.32</v>
      </c>
      <c r="K19" s="234">
        <f>'Exhibit 8'!L8</f>
        <v>0.31</v>
      </c>
      <c r="L19" s="234">
        <f>'Exhibit 8'!M8</f>
        <v>0.3</v>
      </c>
      <c r="M19" s="234">
        <f>'Exhibit 8'!N8</f>
        <v>0.28999999999999998</v>
      </c>
      <c r="N19" s="234">
        <f>'Exhibit 8'!O8</f>
        <v>0.28000000000000003</v>
      </c>
      <c r="O19" s="234">
        <f>'Exhibit 8'!P8</f>
        <v>0.27</v>
      </c>
      <c r="P19" s="234">
        <f>'Exhibit 8'!Q8</f>
        <v>0.26</v>
      </c>
      <c r="Q19" s="234">
        <f>'Exhibit 8'!R8</f>
        <v>0.25</v>
      </c>
      <c r="R19" s="234">
        <f>'Exhibit 8'!S8</f>
        <v>0.24</v>
      </c>
      <c r="S19" s="234">
        <f>'Exhibit 8'!T8</f>
        <v>0.23</v>
      </c>
      <c r="T19" s="234">
        <f>'Exhibit 8'!U8</f>
        <v>0.22</v>
      </c>
      <c r="U19" s="234">
        <f>'Exhibit 8'!V8</f>
        <v>0.21</v>
      </c>
    </row>
    <row r="20" spans="2:21">
      <c r="B20" s="186" t="s">
        <v>463</v>
      </c>
      <c r="D20" s="234">
        <f>'Exhibit 8'!E9</f>
        <v>0</v>
      </c>
      <c r="E20" s="234">
        <f>'Exhibit 8'!F9</f>
        <v>0</v>
      </c>
      <c r="F20" s="234">
        <f>'Exhibit 8'!G9</f>
        <v>0</v>
      </c>
      <c r="G20" s="234">
        <f>'Exhibit 8'!H9</f>
        <v>0.61250000000000004</v>
      </c>
      <c r="H20" s="234">
        <f>'Exhibit 8'!I9</f>
        <v>0.61750000000000005</v>
      </c>
      <c r="I20" s="234">
        <f>'Exhibit 8'!J9</f>
        <v>0.62250000000000005</v>
      </c>
      <c r="J20" s="234">
        <f>'Exhibit 8'!K9</f>
        <v>0.62749999999999995</v>
      </c>
      <c r="K20" s="234">
        <f>'Exhibit 8'!L9</f>
        <v>0.63249999999999995</v>
      </c>
      <c r="L20" s="234">
        <f>'Exhibit 8'!M9</f>
        <v>0.63749999999999996</v>
      </c>
      <c r="M20" s="234">
        <f>'Exhibit 8'!N9</f>
        <v>0.64249999999999996</v>
      </c>
      <c r="N20" s="234">
        <f>'Exhibit 8'!O9</f>
        <v>0.64749999999999996</v>
      </c>
      <c r="O20" s="234">
        <f>'Exhibit 8'!P9</f>
        <v>0.65249999999999997</v>
      </c>
      <c r="P20" s="234">
        <f>'Exhibit 8'!Q9</f>
        <v>0.65749999999999997</v>
      </c>
      <c r="Q20" s="234">
        <f>'Exhibit 8'!R9</f>
        <v>0.66249999999999998</v>
      </c>
      <c r="R20" s="234">
        <f>'Exhibit 8'!S9</f>
        <v>0.66749999999999998</v>
      </c>
      <c r="S20" s="234">
        <f>'Exhibit 8'!T9</f>
        <v>0.67249999999999999</v>
      </c>
      <c r="T20" s="234">
        <f>'Exhibit 8'!U9</f>
        <v>0.67749999999999999</v>
      </c>
      <c r="U20" s="234">
        <f>'Exhibit 8'!V9</f>
        <v>0.6825</v>
      </c>
    </row>
    <row r="21" spans="2:21">
      <c r="B21" s="186" t="s">
        <v>464</v>
      </c>
      <c r="D21" s="234">
        <f>'Exhibit 8'!E10</f>
        <v>0</v>
      </c>
      <c r="E21" s="234">
        <f>'Exhibit 8'!F10</f>
        <v>0</v>
      </c>
      <c r="F21" s="234">
        <f>'Exhibit 8'!G10</f>
        <v>0</v>
      </c>
      <c r="G21" s="234">
        <f>'Exhibit 8'!H10</f>
        <v>3.7499999999999999E-2</v>
      </c>
      <c r="H21" s="234">
        <f>'Exhibit 8'!I10</f>
        <v>4.2500000000000003E-2</v>
      </c>
      <c r="I21" s="234">
        <f>'Exhibit 8'!J10</f>
        <v>4.7500000000000001E-2</v>
      </c>
      <c r="J21" s="234">
        <f>'Exhibit 8'!K10</f>
        <v>5.2499999999999998E-2</v>
      </c>
      <c r="K21" s="234">
        <f>'Exhibit 8'!L10</f>
        <v>5.7500000000000002E-2</v>
      </c>
      <c r="L21" s="234">
        <f>'Exhibit 8'!M10</f>
        <v>6.25E-2</v>
      </c>
      <c r="M21" s="234">
        <f>'Exhibit 8'!N10</f>
        <v>6.7500000000000004E-2</v>
      </c>
      <c r="N21" s="234">
        <f>'Exhibit 8'!O10</f>
        <v>7.2499999999999995E-2</v>
      </c>
      <c r="O21" s="234">
        <f>'Exhibit 8'!P10</f>
        <v>7.7499999999999999E-2</v>
      </c>
      <c r="P21" s="234">
        <f>'Exhibit 8'!Q10</f>
        <v>8.2500000000000004E-2</v>
      </c>
      <c r="Q21" s="234">
        <f>'Exhibit 8'!R10</f>
        <v>8.7499999999999994E-2</v>
      </c>
      <c r="R21" s="234">
        <f>'Exhibit 8'!S10</f>
        <v>9.2499999999999999E-2</v>
      </c>
      <c r="S21" s="234">
        <f>'Exhibit 8'!T10</f>
        <v>9.7500000000000003E-2</v>
      </c>
      <c r="T21" s="234">
        <f>'Exhibit 8'!U10</f>
        <v>0.10249999999999999</v>
      </c>
      <c r="U21" s="234">
        <f>'Exhibit 8'!V10</f>
        <v>0.1075</v>
      </c>
    </row>
    <row r="22" spans="2:21">
      <c r="B22" s="186" t="s">
        <v>465</v>
      </c>
      <c r="D22" s="239">
        <f>'Exhibit 9'!F8</f>
        <v>86.92</v>
      </c>
      <c r="E22" s="239">
        <f>'Exhibit 9'!G8</f>
        <v>77.63</v>
      </c>
      <c r="F22" s="239">
        <f>'Exhibit 9'!H8</f>
        <v>74.37</v>
      </c>
      <c r="G22" s="239">
        <f>'Exhibit 9'!I8</f>
        <v>74.37</v>
      </c>
      <c r="H22" s="239">
        <f>'Exhibit 9'!J8</f>
        <v>74.37</v>
      </c>
      <c r="I22" s="239">
        <f>'Exhibit 9'!K8</f>
        <v>74.37</v>
      </c>
      <c r="J22" s="239">
        <f>'Exhibit 9'!L8</f>
        <v>74.37</v>
      </c>
      <c r="K22" s="239">
        <f>'Exhibit 9'!M8</f>
        <v>74.37</v>
      </c>
      <c r="L22" s="239">
        <f>'Exhibit 9'!N8</f>
        <v>74.37</v>
      </c>
      <c r="M22" s="239">
        <f>'Exhibit 9'!O8</f>
        <v>74.37</v>
      </c>
      <c r="N22" s="239">
        <f>'Exhibit 9'!P8</f>
        <v>74.37</v>
      </c>
      <c r="O22" s="239">
        <f>'Exhibit 9'!Q8</f>
        <v>74.37</v>
      </c>
      <c r="P22" s="239">
        <f>'Exhibit 9'!R8</f>
        <v>74.37</v>
      </c>
      <c r="Q22" s="239">
        <f>'Exhibit 9'!S8</f>
        <v>74.37</v>
      </c>
      <c r="R22" s="239">
        <f>'Exhibit 9'!T8</f>
        <v>74.37</v>
      </c>
      <c r="S22" s="239">
        <f>'Exhibit 9'!U8</f>
        <v>74.37</v>
      </c>
      <c r="T22" s="239">
        <f>'Exhibit 9'!V8</f>
        <v>74.37</v>
      </c>
      <c r="U22" s="239">
        <f>'Exhibit 9'!W8</f>
        <v>74.37</v>
      </c>
    </row>
    <row r="23" spans="2:21">
      <c r="B23" s="186" t="s">
        <v>466</v>
      </c>
      <c r="D23" s="239">
        <f>'Exhibit 9'!F9</f>
        <v>20.25</v>
      </c>
      <c r="E23" s="239">
        <f>'Exhibit 9'!G9</f>
        <v>14.53</v>
      </c>
      <c r="F23" s="239">
        <f>'Exhibit 9'!H9</f>
        <v>14.53</v>
      </c>
      <c r="G23" s="239">
        <f>'Exhibit 9'!I9</f>
        <v>14.53</v>
      </c>
      <c r="H23" s="239">
        <f>'Exhibit 9'!J9</f>
        <v>14.53</v>
      </c>
      <c r="I23" s="239">
        <f>'Exhibit 9'!K9</f>
        <v>14.53</v>
      </c>
      <c r="J23" s="239">
        <f>'Exhibit 9'!L9</f>
        <v>14.53</v>
      </c>
      <c r="K23" s="239">
        <f>'Exhibit 9'!M9</f>
        <v>14.53</v>
      </c>
      <c r="L23" s="239">
        <f>'Exhibit 9'!N9</f>
        <v>14.53</v>
      </c>
      <c r="M23" s="239">
        <f>'Exhibit 9'!O9</f>
        <v>14.53</v>
      </c>
      <c r="N23" s="239">
        <f>'Exhibit 9'!P9</f>
        <v>14.53</v>
      </c>
      <c r="O23" s="239">
        <f>'Exhibit 9'!Q9</f>
        <v>14.53</v>
      </c>
      <c r="P23" s="239">
        <f>'Exhibit 9'!R9</f>
        <v>14.53</v>
      </c>
      <c r="Q23" s="239">
        <f>'Exhibit 9'!S9</f>
        <v>14.53</v>
      </c>
      <c r="R23" s="239">
        <f>'Exhibit 9'!T9</f>
        <v>14.53</v>
      </c>
      <c r="S23" s="239">
        <f>'Exhibit 9'!U9</f>
        <v>14.53</v>
      </c>
      <c r="T23" s="239">
        <f>'Exhibit 9'!V9</f>
        <v>14.53</v>
      </c>
      <c r="U23" s="239">
        <f>'Exhibit 9'!W9</f>
        <v>14.53</v>
      </c>
    </row>
    <row r="24" spans="2:21">
      <c r="B24" s="186" t="s">
        <v>467</v>
      </c>
      <c r="D24" s="239">
        <f>'Exhibit 9'!F10</f>
        <v>31.34</v>
      </c>
      <c r="E24" s="239">
        <f>'Exhibit 9'!G10</f>
        <v>28.33</v>
      </c>
      <c r="F24" s="239">
        <f>'Exhibit 9'!H10</f>
        <v>27.31</v>
      </c>
      <c r="G24" s="239">
        <f>'Exhibit 9'!I10</f>
        <v>27.31</v>
      </c>
      <c r="H24" s="239">
        <f>'Exhibit 9'!J10</f>
        <v>27.31</v>
      </c>
      <c r="I24" s="239">
        <f>'Exhibit 9'!K10</f>
        <v>27.31</v>
      </c>
      <c r="J24" s="239">
        <f>'Exhibit 9'!L10</f>
        <v>27.31</v>
      </c>
      <c r="K24" s="239">
        <f>'Exhibit 9'!M10</f>
        <v>27.31</v>
      </c>
      <c r="L24" s="239">
        <f>'Exhibit 9'!N10</f>
        <v>27.31</v>
      </c>
      <c r="M24" s="239">
        <f>'Exhibit 9'!O10</f>
        <v>27.31</v>
      </c>
      <c r="N24" s="239">
        <f>'Exhibit 9'!P10</f>
        <v>27.31</v>
      </c>
      <c r="O24" s="239">
        <f>'Exhibit 9'!Q10</f>
        <v>27.31</v>
      </c>
      <c r="P24" s="239">
        <f>'Exhibit 9'!R10</f>
        <v>27.31</v>
      </c>
      <c r="Q24" s="239">
        <f>'Exhibit 9'!S10</f>
        <v>27.31</v>
      </c>
      <c r="R24" s="239">
        <f>'Exhibit 9'!T10</f>
        <v>27.31</v>
      </c>
      <c r="S24" s="239">
        <f>'Exhibit 9'!U10</f>
        <v>27.31</v>
      </c>
      <c r="T24" s="239">
        <f>'Exhibit 9'!V10</f>
        <v>27.31</v>
      </c>
      <c r="U24" s="239">
        <f>'Exhibit 9'!W10</f>
        <v>27.31</v>
      </c>
    </row>
    <row r="25" spans="2:21">
      <c r="B25" s="186" t="s">
        <v>468</v>
      </c>
      <c r="D25" s="244">
        <f>D23*'WACC &amp; Inputs'!$C$6*'WACC &amp; Inputs'!$C$7</f>
        <v>124.902</v>
      </c>
      <c r="E25" s="244">
        <f>E23*'WACC &amp; Inputs'!$C$6*'WACC &amp; Inputs'!$C$7</f>
        <v>89.621039999999994</v>
      </c>
      <c r="F25" s="244">
        <f>F23*'WACC &amp; Inputs'!$C$6*'WACC &amp; Inputs'!$C$7</f>
        <v>89.621039999999994</v>
      </c>
      <c r="G25" s="244">
        <f>G23*'WACC &amp; Inputs'!$C$6*'WACC &amp; Inputs'!$C$7</f>
        <v>89.621039999999994</v>
      </c>
      <c r="H25" s="244">
        <f>H23*'WACC &amp; Inputs'!$C$6*'WACC &amp; Inputs'!$C$7</f>
        <v>89.621039999999994</v>
      </c>
      <c r="I25" s="244">
        <f>I23*'WACC &amp; Inputs'!$C$6*'WACC &amp; Inputs'!$C$7</f>
        <v>89.621039999999994</v>
      </c>
      <c r="J25" s="244">
        <f>J23*'WACC &amp; Inputs'!$C$6*'WACC &amp; Inputs'!$C$7</f>
        <v>89.621039999999994</v>
      </c>
      <c r="K25" s="244">
        <f>K23*'WACC &amp; Inputs'!$C$6*'WACC &amp; Inputs'!$C$7</f>
        <v>89.621039999999994</v>
      </c>
      <c r="L25" s="244">
        <f>L23*'WACC &amp; Inputs'!$C$6*'WACC &amp; Inputs'!$C$7</f>
        <v>89.621039999999994</v>
      </c>
      <c r="M25" s="244">
        <f>M23*'WACC &amp; Inputs'!$C$6*'WACC &amp; Inputs'!$C$7</f>
        <v>89.621039999999994</v>
      </c>
      <c r="N25" s="244">
        <f>N23*'WACC &amp; Inputs'!$C$6*'WACC &amp; Inputs'!$C$7</f>
        <v>89.621039999999994</v>
      </c>
      <c r="O25" s="244">
        <f>O23*'WACC &amp; Inputs'!$C$6*'WACC &amp; Inputs'!$C$7</f>
        <v>89.621039999999994</v>
      </c>
      <c r="P25" s="244">
        <f>P23*'WACC &amp; Inputs'!$C$6*'WACC &amp; Inputs'!$C$7</f>
        <v>89.621039999999994</v>
      </c>
      <c r="Q25" s="244">
        <f>Q23*'WACC &amp; Inputs'!$C$6*'WACC &amp; Inputs'!$C$7</f>
        <v>89.621039999999994</v>
      </c>
      <c r="R25" s="244">
        <f>R23*'WACC &amp; Inputs'!$C$6*'WACC &amp; Inputs'!$C$7</f>
        <v>89.621039999999994</v>
      </c>
      <c r="S25" s="244">
        <f>S23*'WACC &amp; Inputs'!$C$6*'WACC &amp; Inputs'!$C$7</f>
        <v>89.621039999999994</v>
      </c>
      <c r="T25" s="244">
        <f>T23*'WACC &amp; Inputs'!$C$6*'WACC &amp; Inputs'!$C$7</f>
        <v>89.621039999999994</v>
      </c>
      <c r="U25" s="244">
        <f>U23*'WACC &amp; Inputs'!$C$6*'WACC &amp; Inputs'!$C$7</f>
        <v>89.621039999999994</v>
      </c>
    </row>
    <row r="26" spans="2:21">
      <c r="B26" s="186" t="s">
        <v>265</v>
      </c>
      <c r="D26" s="245">
        <f t="shared" ref="D26:U26" si="1">D18*D19*D22</f>
        <v>0</v>
      </c>
      <c r="E26" s="245">
        <f t="shared" si="1"/>
        <v>0</v>
      </c>
      <c r="F26" s="245">
        <f t="shared" si="1"/>
        <v>0</v>
      </c>
      <c r="G26" s="245">
        <f t="shared" si="1"/>
        <v>1425.115125</v>
      </c>
      <c r="H26" s="245">
        <f t="shared" si="1"/>
        <v>1384.3975500000001</v>
      </c>
      <c r="I26" s="245">
        <f t="shared" si="1"/>
        <v>1343.6799750000002</v>
      </c>
      <c r="J26" s="245">
        <f t="shared" si="1"/>
        <v>1302.9624000000001</v>
      </c>
      <c r="K26" s="245">
        <f t="shared" si="1"/>
        <v>1262.244825</v>
      </c>
      <c r="L26" s="245">
        <f t="shared" si="1"/>
        <v>1221.5272500000001</v>
      </c>
      <c r="M26" s="245">
        <f t="shared" si="1"/>
        <v>1180.809675</v>
      </c>
      <c r="N26" s="245">
        <f t="shared" si="1"/>
        <v>756.10908072000007</v>
      </c>
      <c r="O26" s="245">
        <f t="shared" si="1"/>
        <v>730.42443441000012</v>
      </c>
      <c r="P26" s="245">
        <f t="shared" si="1"/>
        <v>700.12512960000004</v>
      </c>
      <c r="Q26" s="245">
        <f t="shared" si="1"/>
        <v>546.29413125000008</v>
      </c>
      <c r="R26" s="245">
        <f t="shared" si="1"/>
        <v>329.32374659999999</v>
      </c>
      <c r="S26" s="245">
        <f t="shared" si="1"/>
        <v>156.58350641999999</v>
      </c>
      <c r="T26" s="245">
        <f t="shared" si="1"/>
        <v>153.95586558000002</v>
      </c>
      <c r="U26" s="245">
        <f t="shared" si="1"/>
        <v>157.38971440500001</v>
      </c>
    </row>
    <row r="27" spans="2:21">
      <c r="B27" s="186" t="s">
        <v>266</v>
      </c>
      <c r="D27" s="245">
        <f t="shared" ref="D27:U27" si="2">D18*D20*D25</f>
        <v>0</v>
      </c>
      <c r="E27" s="245">
        <f t="shared" si="2"/>
        <v>0</v>
      </c>
      <c r="F27" s="245">
        <f t="shared" si="2"/>
        <v>0</v>
      </c>
      <c r="G27" s="245">
        <f t="shared" si="2"/>
        <v>3005.3855632500004</v>
      </c>
      <c r="H27" s="245">
        <f t="shared" si="2"/>
        <v>3029.9193229500002</v>
      </c>
      <c r="I27" s="245">
        <f t="shared" si="2"/>
        <v>3054.4530826499999</v>
      </c>
      <c r="J27" s="245">
        <f t="shared" si="2"/>
        <v>3078.9868423499993</v>
      </c>
      <c r="K27" s="245">
        <f t="shared" si="2"/>
        <v>3103.5206020499995</v>
      </c>
      <c r="L27" s="245">
        <f t="shared" si="2"/>
        <v>3128.0543617499993</v>
      </c>
      <c r="M27" s="245">
        <f t="shared" si="2"/>
        <v>3152.5881214499996</v>
      </c>
      <c r="N27" s="245">
        <f t="shared" si="2"/>
        <v>2107.0672315786801</v>
      </c>
      <c r="O27" s="245">
        <f t="shared" si="2"/>
        <v>2127.1800077807397</v>
      </c>
      <c r="P27" s="245">
        <f t="shared" si="2"/>
        <v>2133.5865902303995</v>
      </c>
      <c r="Q27" s="245">
        <f t="shared" si="2"/>
        <v>1744.5547626674997</v>
      </c>
      <c r="R27" s="245">
        <f t="shared" si="2"/>
        <v>1103.7615820231497</v>
      </c>
      <c r="S27" s="245">
        <f t="shared" si="2"/>
        <v>551.72500163747998</v>
      </c>
      <c r="T27" s="245">
        <f t="shared" si="2"/>
        <v>571.34056030962006</v>
      </c>
      <c r="U27" s="245">
        <f t="shared" si="2"/>
        <v>616.41316583846992</v>
      </c>
    </row>
    <row r="28" spans="2:21">
      <c r="B28" s="186" t="s">
        <v>267</v>
      </c>
      <c r="D28" s="245">
        <f t="shared" ref="D28:U28" si="3">D18*D21*D24</f>
        <v>0</v>
      </c>
      <c r="E28" s="245">
        <f t="shared" si="3"/>
        <v>0</v>
      </c>
      <c r="F28" s="245">
        <f t="shared" si="3"/>
        <v>0</v>
      </c>
      <c r="G28" s="245">
        <f t="shared" si="3"/>
        <v>56.070843750000002</v>
      </c>
      <c r="H28" s="245">
        <f t="shared" si="3"/>
        <v>63.546956250000001</v>
      </c>
      <c r="I28" s="245">
        <f t="shared" si="3"/>
        <v>71.023068749999993</v>
      </c>
      <c r="J28" s="245">
        <f t="shared" si="3"/>
        <v>78.499181249999992</v>
      </c>
      <c r="K28" s="245">
        <f t="shared" si="3"/>
        <v>85.975293750000006</v>
      </c>
      <c r="L28" s="245">
        <f t="shared" si="3"/>
        <v>93.451406249999991</v>
      </c>
      <c r="M28" s="245">
        <f t="shared" si="3"/>
        <v>100.92751875</v>
      </c>
      <c r="N28" s="245">
        <f t="shared" si="3"/>
        <v>71.893288244999994</v>
      </c>
      <c r="O28" s="245">
        <f t="shared" si="3"/>
        <v>76.990501747499991</v>
      </c>
      <c r="P28" s="245">
        <f t="shared" si="3"/>
        <v>81.579339599999997</v>
      </c>
      <c r="Q28" s="245">
        <f t="shared" si="3"/>
        <v>70.213156562500004</v>
      </c>
      <c r="R28" s="245">
        <f t="shared" si="3"/>
        <v>46.609823381249996</v>
      </c>
      <c r="S28" s="245">
        <f t="shared" si="3"/>
        <v>24.375117194999998</v>
      </c>
      <c r="T28" s="245">
        <f t="shared" si="3"/>
        <v>26.340337967499998</v>
      </c>
      <c r="U28" s="245">
        <f t="shared" si="3"/>
        <v>29.586216811249997</v>
      </c>
    </row>
    <row r="29" spans="2:21">
      <c r="B29" s="190" t="s">
        <v>268</v>
      </c>
      <c r="D29" s="246">
        <f t="shared" ref="D29:U29" si="4">SUM(D26:D28)</f>
        <v>0</v>
      </c>
      <c r="E29" s="246">
        <f t="shared" si="4"/>
        <v>0</v>
      </c>
      <c r="F29" s="246">
        <f t="shared" si="4"/>
        <v>0</v>
      </c>
      <c r="G29" s="246">
        <f t="shared" si="4"/>
        <v>4486.5715319999999</v>
      </c>
      <c r="H29" s="246">
        <f t="shared" si="4"/>
        <v>4477.8638292000005</v>
      </c>
      <c r="I29" s="246">
        <f t="shared" si="4"/>
        <v>4469.1561264000002</v>
      </c>
      <c r="J29" s="246">
        <f t="shared" si="4"/>
        <v>4460.4484235999998</v>
      </c>
      <c r="K29" s="246">
        <f t="shared" si="4"/>
        <v>4451.7407207999995</v>
      </c>
      <c r="L29" s="246">
        <f t="shared" si="4"/>
        <v>4443.0330180000001</v>
      </c>
      <c r="M29" s="246">
        <f t="shared" si="4"/>
        <v>4434.3253151999988</v>
      </c>
      <c r="N29" s="246">
        <f t="shared" si="4"/>
        <v>2935.0696005436803</v>
      </c>
      <c r="O29" s="246">
        <f t="shared" si="4"/>
        <v>2934.5949439382398</v>
      </c>
      <c r="P29" s="246">
        <f t="shared" si="4"/>
        <v>2915.2910594303994</v>
      </c>
      <c r="Q29" s="246">
        <f t="shared" si="4"/>
        <v>2361.0620504799999</v>
      </c>
      <c r="R29" s="246">
        <f t="shared" si="4"/>
        <v>1479.6951520043997</v>
      </c>
      <c r="S29" s="246">
        <f t="shared" si="4"/>
        <v>732.68362525247994</v>
      </c>
      <c r="T29" s="246">
        <f t="shared" si="4"/>
        <v>751.63676385712006</v>
      </c>
      <c r="U29" s="246">
        <f t="shared" si="4"/>
        <v>803.38909705471985</v>
      </c>
    </row>
    <row r="30" spans="2:21">
      <c r="B30" s="186" t="s">
        <v>469</v>
      </c>
      <c r="D30" s="245">
        <f t="shared" ref="D30:U30" si="5">-D29*$D$5</f>
        <v>0</v>
      </c>
      <c r="E30" s="245">
        <f t="shared" si="5"/>
        <v>0</v>
      </c>
      <c r="F30" s="245">
        <f t="shared" si="5"/>
        <v>0</v>
      </c>
      <c r="G30" s="245">
        <f t="shared" si="5"/>
        <v>-1345.9714595999999</v>
      </c>
      <c r="H30" s="245">
        <f t="shared" si="5"/>
        <v>-1343.3591487600002</v>
      </c>
      <c r="I30" s="245">
        <f t="shared" si="5"/>
        <v>-1340.74683792</v>
      </c>
      <c r="J30" s="245">
        <f t="shared" si="5"/>
        <v>-1338.13452708</v>
      </c>
      <c r="K30" s="245">
        <f t="shared" si="5"/>
        <v>-1335.5222162399998</v>
      </c>
      <c r="L30" s="245">
        <f t="shared" si="5"/>
        <v>-1332.9099054000001</v>
      </c>
      <c r="M30" s="245">
        <f t="shared" si="5"/>
        <v>-1330.2975945599997</v>
      </c>
      <c r="N30" s="245">
        <f t="shared" si="5"/>
        <v>-880.52088016310404</v>
      </c>
      <c r="O30" s="245">
        <f t="shared" si="5"/>
        <v>-880.37848318147189</v>
      </c>
      <c r="P30" s="245">
        <f t="shared" si="5"/>
        <v>-874.5873178291198</v>
      </c>
      <c r="Q30" s="245">
        <f t="shared" si="5"/>
        <v>-708.31861514399998</v>
      </c>
      <c r="R30" s="245">
        <f t="shared" si="5"/>
        <v>-443.90854560131987</v>
      </c>
      <c r="S30" s="245">
        <f t="shared" si="5"/>
        <v>-219.80508757574398</v>
      </c>
      <c r="T30" s="245">
        <f t="shared" si="5"/>
        <v>-225.49102915713601</v>
      </c>
      <c r="U30" s="245">
        <f t="shared" si="5"/>
        <v>-241.01672911641595</v>
      </c>
    </row>
    <row r="31" spans="2:21">
      <c r="B31" s="186" t="s">
        <v>470</v>
      </c>
      <c r="D31" s="245">
        <f t="shared" ref="D31:U31" si="6">-D18*$D$6</f>
        <v>0</v>
      </c>
      <c r="E31" s="245">
        <f t="shared" si="6"/>
        <v>0</v>
      </c>
      <c r="F31" s="245">
        <f t="shared" si="6"/>
        <v>0</v>
      </c>
      <c r="G31" s="245">
        <f t="shared" si="6"/>
        <v>-766.5</v>
      </c>
      <c r="H31" s="245">
        <f t="shared" si="6"/>
        <v>-766.5</v>
      </c>
      <c r="I31" s="245">
        <f t="shared" si="6"/>
        <v>-766.5</v>
      </c>
      <c r="J31" s="245">
        <f t="shared" si="6"/>
        <v>-766.5</v>
      </c>
      <c r="K31" s="245">
        <f t="shared" si="6"/>
        <v>-766.5</v>
      </c>
      <c r="L31" s="245">
        <f t="shared" si="6"/>
        <v>-766.5</v>
      </c>
      <c r="M31" s="245">
        <f t="shared" si="6"/>
        <v>-766.5</v>
      </c>
      <c r="N31" s="245">
        <f t="shared" si="6"/>
        <v>-508.34280000000001</v>
      </c>
      <c r="O31" s="245">
        <f t="shared" si="6"/>
        <v>-509.26260000000002</v>
      </c>
      <c r="P31" s="245">
        <f t="shared" si="6"/>
        <v>-506.91199999999998</v>
      </c>
      <c r="Q31" s="245">
        <f t="shared" si="6"/>
        <v>-411.35500000000002</v>
      </c>
      <c r="R31" s="245">
        <f t="shared" si="6"/>
        <v>-258.31049999999999</v>
      </c>
      <c r="S31" s="245">
        <f t="shared" si="6"/>
        <v>-128.15879999999999</v>
      </c>
      <c r="T31" s="245">
        <f t="shared" si="6"/>
        <v>-131.73580000000001</v>
      </c>
      <c r="U31" s="245">
        <f t="shared" si="6"/>
        <v>-141.08709999999999</v>
      </c>
    </row>
    <row r="32" spans="2:21">
      <c r="B32" s="186" t="s">
        <v>471</v>
      </c>
      <c r="D32" s="245">
        <f t="shared" ref="D32:U32" si="7">-D18*$D$7</f>
        <v>0</v>
      </c>
      <c r="E32" s="245">
        <f t="shared" si="7"/>
        <v>0</v>
      </c>
      <c r="F32" s="245">
        <f t="shared" si="7"/>
        <v>0</v>
      </c>
      <c r="G32" s="245">
        <f t="shared" si="7"/>
        <v>-191.625</v>
      </c>
      <c r="H32" s="245">
        <f t="shared" si="7"/>
        <v>-191.625</v>
      </c>
      <c r="I32" s="245">
        <f t="shared" si="7"/>
        <v>-191.625</v>
      </c>
      <c r="J32" s="245">
        <f t="shared" si="7"/>
        <v>-191.625</v>
      </c>
      <c r="K32" s="245">
        <f t="shared" si="7"/>
        <v>-191.625</v>
      </c>
      <c r="L32" s="245">
        <f t="shared" si="7"/>
        <v>-191.625</v>
      </c>
      <c r="M32" s="245">
        <f t="shared" si="7"/>
        <v>-191.625</v>
      </c>
      <c r="N32" s="245">
        <f t="shared" si="7"/>
        <v>-127.0857</v>
      </c>
      <c r="O32" s="245">
        <f t="shared" si="7"/>
        <v>-127.31565000000001</v>
      </c>
      <c r="P32" s="245">
        <f t="shared" si="7"/>
        <v>-126.72799999999999</v>
      </c>
      <c r="Q32" s="245">
        <f t="shared" si="7"/>
        <v>-102.83875</v>
      </c>
      <c r="R32" s="245">
        <f t="shared" si="7"/>
        <v>-64.577624999999998</v>
      </c>
      <c r="S32" s="245">
        <f t="shared" si="7"/>
        <v>-32.039699999999996</v>
      </c>
      <c r="T32" s="245">
        <f t="shared" si="7"/>
        <v>-32.933950000000003</v>
      </c>
      <c r="U32" s="245">
        <f t="shared" si="7"/>
        <v>-35.271774999999998</v>
      </c>
    </row>
    <row r="33" spans="2:21">
      <c r="B33" s="186" t="s">
        <v>472</v>
      </c>
      <c r="D33" s="245">
        <f t="shared" ref="D33:U33" si="8">-D18*$D$8</f>
        <v>0</v>
      </c>
      <c r="E33" s="245">
        <f t="shared" si="8"/>
        <v>0</v>
      </c>
      <c r="F33" s="245">
        <f t="shared" si="8"/>
        <v>0</v>
      </c>
      <c r="G33" s="245">
        <f t="shared" si="8"/>
        <v>-383.25</v>
      </c>
      <c r="H33" s="245">
        <f t="shared" si="8"/>
        <v>-383.25</v>
      </c>
      <c r="I33" s="245">
        <f t="shared" si="8"/>
        <v>-383.25</v>
      </c>
      <c r="J33" s="245">
        <f t="shared" si="8"/>
        <v>-383.25</v>
      </c>
      <c r="K33" s="245">
        <f t="shared" si="8"/>
        <v>-383.25</v>
      </c>
      <c r="L33" s="245">
        <f t="shared" si="8"/>
        <v>-383.25</v>
      </c>
      <c r="M33" s="245">
        <f t="shared" si="8"/>
        <v>-383.25</v>
      </c>
      <c r="N33" s="245">
        <f t="shared" si="8"/>
        <v>-254.17140000000001</v>
      </c>
      <c r="O33" s="245">
        <f t="shared" si="8"/>
        <v>-254.63130000000001</v>
      </c>
      <c r="P33" s="245">
        <f t="shared" si="8"/>
        <v>-253.45599999999999</v>
      </c>
      <c r="Q33" s="245">
        <f t="shared" si="8"/>
        <v>-205.67750000000001</v>
      </c>
      <c r="R33" s="245">
        <f t="shared" si="8"/>
        <v>-129.15525</v>
      </c>
      <c r="S33" s="245">
        <f t="shared" si="8"/>
        <v>-64.079399999999993</v>
      </c>
      <c r="T33" s="245">
        <f t="shared" si="8"/>
        <v>-65.867900000000006</v>
      </c>
      <c r="U33" s="245">
        <f t="shared" si="8"/>
        <v>-70.543549999999996</v>
      </c>
    </row>
    <row r="34" spans="2:21">
      <c r="B34" s="190" t="s">
        <v>473</v>
      </c>
      <c r="D34" s="246">
        <f t="shared" ref="D34:U34" si="9">SUM(D29:D33)</f>
        <v>0</v>
      </c>
      <c r="E34" s="246">
        <f t="shared" si="9"/>
        <v>0</v>
      </c>
      <c r="F34" s="246">
        <f t="shared" si="9"/>
        <v>0</v>
      </c>
      <c r="G34" s="246">
        <f>SUM(G29:G33)</f>
        <v>1799.2250724</v>
      </c>
      <c r="H34" s="246">
        <f t="shared" si="9"/>
        <v>1793.1296804400004</v>
      </c>
      <c r="I34" s="246">
        <f t="shared" si="9"/>
        <v>1787.0342884800002</v>
      </c>
      <c r="J34" s="246">
        <f t="shared" si="9"/>
        <v>1780.9388965199996</v>
      </c>
      <c r="K34" s="246">
        <f t="shared" si="9"/>
        <v>1774.8435045599999</v>
      </c>
      <c r="L34" s="246">
        <f t="shared" si="9"/>
        <v>1768.7481126000002</v>
      </c>
      <c r="M34" s="246">
        <f t="shared" si="9"/>
        <v>1762.6527206399992</v>
      </c>
      <c r="N34" s="246">
        <f t="shared" si="9"/>
        <v>1164.9488203805761</v>
      </c>
      <c r="O34" s="246">
        <f t="shared" si="9"/>
        <v>1163.0069107567679</v>
      </c>
      <c r="P34" s="246">
        <f t="shared" si="9"/>
        <v>1153.6077416012795</v>
      </c>
      <c r="Q34" s="246">
        <f t="shared" si="9"/>
        <v>932.87218533600003</v>
      </c>
      <c r="R34" s="246">
        <f t="shared" si="9"/>
        <v>583.74323140307968</v>
      </c>
      <c r="S34" s="246">
        <f t="shared" si="9"/>
        <v>288.60063767673603</v>
      </c>
      <c r="T34" s="246">
        <f t="shared" si="9"/>
        <v>295.60808469998398</v>
      </c>
      <c r="U34" s="246">
        <f t="shared" si="9"/>
        <v>315.46994293830397</v>
      </c>
    </row>
    <row r="35" spans="2:21">
      <c r="B35" s="186" t="s">
        <v>474</v>
      </c>
      <c r="D35" s="245">
        <f t="shared" ref="D35:U35" si="10">-IF(D17&gt;0,$D$4/$D$9,0)</f>
        <v>0</v>
      </c>
      <c r="E35" s="245">
        <f t="shared" si="10"/>
        <v>0</v>
      </c>
      <c r="F35" s="245">
        <f t="shared" si="10"/>
        <v>0</v>
      </c>
      <c r="G35" s="245">
        <f t="shared" si="10"/>
        <v>-333.33333333333331</v>
      </c>
      <c r="H35" s="245">
        <f t="shared" si="10"/>
        <v>-333.33333333333331</v>
      </c>
      <c r="I35" s="245">
        <f t="shared" si="10"/>
        <v>-333.33333333333331</v>
      </c>
      <c r="J35" s="245">
        <f t="shared" si="10"/>
        <v>-333.33333333333331</v>
      </c>
      <c r="K35" s="245">
        <f t="shared" si="10"/>
        <v>-333.33333333333331</v>
      </c>
      <c r="L35" s="245">
        <f t="shared" si="10"/>
        <v>-333.33333333333331</v>
      </c>
      <c r="M35" s="245">
        <f t="shared" si="10"/>
        <v>-333.33333333333331</v>
      </c>
      <c r="N35" s="245">
        <f t="shared" si="10"/>
        <v>-333.33333333333331</v>
      </c>
      <c r="O35" s="245">
        <f t="shared" si="10"/>
        <v>-333.33333333333331</v>
      </c>
      <c r="P35" s="245">
        <f t="shared" si="10"/>
        <v>-333.33333333333331</v>
      </c>
      <c r="Q35" s="245">
        <f t="shared" si="10"/>
        <v>-333.33333333333331</v>
      </c>
      <c r="R35" s="245">
        <f t="shared" si="10"/>
        <v>-333.33333333333331</v>
      </c>
      <c r="S35" s="245">
        <f t="shared" si="10"/>
        <v>-333.33333333333331</v>
      </c>
      <c r="T35" s="245">
        <f t="shared" si="10"/>
        <v>-333.33333333333331</v>
      </c>
      <c r="U35" s="245">
        <f t="shared" si="10"/>
        <v>-333.33333333333331</v>
      </c>
    </row>
    <row r="36" spans="2:21">
      <c r="B36" s="186" t="s">
        <v>475</v>
      </c>
      <c r="D36" s="245">
        <f t="shared" ref="D36:U36" si="11">D34+D35</f>
        <v>0</v>
      </c>
      <c r="E36" s="245">
        <f t="shared" si="11"/>
        <v>0</v>
      </c>
      <c r="F36" s="245">
        <f t="shared" si="11"/>
        <v>0</v>
      </c>
      <c r="G36" s="245">
        <f t="shared" si="11"/>
        <v>1465.8917390666668</v>
      </c>
      <c r="H36" s="245">
        <f t="shared" si="11"/>
        <v>1459.7963471066671</v>
      </c>
      <c r="I36" s="245">
        <f t="shared" si="11"/>
        <v>1453.700955146667</v>
      </c>
      <c r="J36" s="245">
        <f t="shared" si="11"/>
        <v>1447.6055631866664</v>
      </c>
      <c r="K36" s="245">
        <f t="shared" si="11"/>
        <v>1441.5101712266667</v>
      </c>
      <c r="L36" s="245">
        <f t="shared" si="11"/>
        <v>1435.414779266667</v>
      </c>
      <c r="M36" s="245">
        <f t="shared" si="11"/>
        <v>1429.3193873066659</v>
      </c>
      <c r="N36" s="245">
        <f t="shared" si="11"/>
        <v>831.61548704724282</v>
      </c>
      <c r="O36" s="245">
        <f t="shared" si="11"/>
        <v>829.67357742343461</v>
      </c>
      <c r="P36" s="245">
        <f t="shared" si="11"/>
        <v>820.27440826794623</v>
      </c>
      <c r="Q36" s="245">
        <f t="shared" si="11"/>
        <v>599.53885200266677</v>
      </c>
      <c r="R36" s="245">
        <f t="shared" si="11"/>
        <v>250.40989806974636</v>
      </c>
      <c r="S36" s="245">
        <f t="shared" si="11"/>
        <v>-44.732695656597286</v>
      </c>
      <c r="T36" s="245">
        <f t="shared" si="11"/>
        <v>-37.725248633349338</v>
      </c>
      <c r="U36" s="245">
        <f t="shared" si="11"/>
        <v>-17.863390395029342</v>
      </c>
    </row>
    <row r="37" spans="2:21">
      <c r="B37" s="186" t="s">
        <v>476</v>
      </c>
      <c r="D37" s="245">
        <f t="shared" ref="D37:U37" si="12">-$D$13*D36</f>
        <v>0</v>
      </c>
      <c r="E37" s="245">
        <f t="shared" si="12"/>
        <v>0</v>
      </c>
      <c r="F37" s="245">
        <f t="shared" si="12"/>
        <v>0</v>
      </c>
      <c r="G37" s="245">
        <f t="shared" si="12"/>
        <v>-307.837265204</v>
      </c>
      <c r="H37" s="245">
        <f t="shared" si="12"/>
        <v>-306.55723289240007</v>
      </c>
      <c r="I37" s="245">
        <f t="shared" si="12"/>
        <v>-305.27720058080007</v>
      </c>
      <c r="J37" s="245">
        <f t="shared" si="12"/>
        <v>-303.9971682691999</v>
      </c>
      <c r="K37" s="245">
        <f t="shared" si="12"/>
        <v>-302.71713595759996</v>
      </c>
      <c r="L37" s="245">
        <f t="shared" si="12"/>
        <v>-301.43710364600008</v>
      </c>
      <c r="M37" s="245">
        <f t="shared" si="12"/>
        <v>-300.15707133439986</v>
      </c>
      <c r="N37" s="245">
        <f t="shared" si="12"/>
        <v>-174.63925227992098</v>
      </c>
      <c r="O37" s="245">
        <f t="shared" si="12"/>
        <v>-174.23145125892125</v>
      </c>
      <c r="P37" s="245">
        <f t="shared" si="12"/>
        <v>-172.25762573626869</v>
      </c>
      <c r="Q37" s="245">
        <f t="shared" si="12"/>
        <v>-125.90315892056002</v>
      </c>
      <c r="R37" s="245">
        <f t="shared" si="12"/>
        <v>-52.586078594646736</v>
      </c>
      <c r="S37" s="245">
        <f t="shared" si="12"/>
        <v>9.3938660878854296</v>
      </c>
      <c r="T37" s="245">
        <f t="shared" si="12"/>
        <v>7.9223022130033609</v>
      </c>
      <c r="U37" s="245">
        <f t="shared" si="12"/>
        <v>3.7513119829561616</v>
      </c>
    </row>
    <row r="38" spans="2:21">
      <c r="B38" s="186" t="s">
        <v>477</v>
      </c>
      <c r="D38" s="245">
        <f t="shared" ref="D38:U38" si="13">-IF(D$16&lt;2027+$D$11,$D$4/$D$11,0)</f>
        <v>-1666.6666666666667</v>
      </c>
      <c r="E38" s="245">
        <f t="shared" si="13"/>
        <v>-1666.6666666666667</v>
      </c>
      <c r="F38" s="245">
        <f t="shared" si="13"/>
        <v>-1666.6666666666667</v>
      </c>
      <c r="G38" s="245">
        <f t="shared" si="13"/>
        <v>0</v>
      </c>
      <c r="H38" s="245">
        <f t="shared" si="13"/>
        <v>0</v>
      </c>
      <c r="I38" s="245">
        <f t="shared" si="13"/>
        <v>0</v>
      </c>
      <c r="J38" s="245">
        <f t="shared" si="13"/>
        <v>0</v>
      </c>
      <c r="K38" s="245">
        <f t="shared" si="13"/>
        <v>0</v>
      </c>
      <c r="L38" s="245">
        <f t="shared" si="13"/>
        <v>0</v>
      </c>
      <c r="M38" s="245">
        <f t="shared" si="13"/>
        <v>0</v>
      </c>
      <c r="N38" s="245">
        <f t="shared" si="13"/>
        <v>0</v>
      </c>
      <c r="O38" s="245">
        <f t="shared" si="13"/>
        <v>0</v>
      </c>
      <c r="P38" s="245">
        <f t="shared" si="13"/>
        <v>0</v>
      </c>
      <c r="Q38" s="245">
        <f t="shared" si="13"/>
        <v>0</v>
      </c>
      <c r="R38" s="245">
        <f t="shared" si="13"/>
        <v>0</v>
      </c>
      <c r="S38" s="245">
        <f t="shared" si="13"/>
        <v>0</v>
      </c>
      <c r="T38" s="245">
        <f t="shared" si="13"/>
        <v>0</v>
      </c>
      <c r="U38" s="245">
        <f t="shared" si="13"/>
        <v>0</v>
      </c>
    </row>
    <row r="39" spans="2:21">
      <c r="B39" s="186" t="s">
        <v>478</v>
      </c>
      <c r="D39" s="245">
        <f t="shared" ref="D39:U39" si="14">-IF(D$16=2027+$D$11+$D$9-1,$D$10,0)</f>
        <v>0</v>
      </c>
      <c r="E39" s="245">
        <f t="shared" si="14"/>
        <v>0</v>
      </c>
      <c r="F39" s="245">
        <f t="shared" si="14"/>
        <v>0</v>
      </c>
      <c r="G39" s="245">
        <f t="shared" si="14"/>
        <v>0</v>
      </c>
      <c r="H39" s="245">
        <f t="shared" si="14"/>
        <v>0</v>
      </c>
      <c r="I39" s="245">
        <f t="shared" si="14"/>
        <v>0</v>
      </c>
      <c r="J39" s="245">
        <f t="shared" si="14"/>
        <v>0</v>
      </c>
      <c r="K39" s="245">
        <f t="shared" si="14"/>
        <v>0</v>
      </c>
      <c r="L39" s="245">
        <f t="shared" si="14"/>
        <v>0</v>
      </c>
      <c r="M39" s="245">
        <f t="shared" si="14"/>
        <v>0</v>
      </c>
      <c r="N39" s="245">
        <f t="shared" si="14"/>
        <v>0</v>
      </c>
      <c r="O39" s="245">
        <f t="shared" si="14"/>
        <v>0</v>
      </c>
      <c r="P39" s="245">
        <f t="shared" si="14"/>
        <v>0</v>
      </c>
      <c r="Q39" s="245">
        <f t="shared" si="14"/>
        <v>0</v>
      </c>
      <c r="R39" s="245">
        <f t="shared" si="14"/>
        <v>0</v>
      </c>
      <c r="S39" s="245">
        <f t="shared" si="14"/>
        <v>0</v>
      </c>
      <c r="T39" s="245">
        <f t="shared" si="14"/>
        <v>0</v>
      </c>
      <c r="U39" s="245">
        <f t="shared" si="14"/>
        <v>-350</v>
      </c>
    </row>
    <row r="40" spans="2:21">
      <c r="B40" s="190" t="s">
        <v>479</v>
      </c>
      <c r="D40" s="246">
        <f t="shared" ref="D40:U40" si="15">D34+D37+D38+D39</f>
        <v>-1666.6666666666667</v>
      </c>
      <c r="E40" s="246">
        <f t="shared" si="15"/>
        <v>-1666.6666666666667</v>
      </c>
      <c r="F40" s="246">
        <f t="shared" si="15"/>
        <v>-1666.6666666666667</v>
      </c>
      <c r="G40" s="246">
        <f t="shared" si="15"/>
        <v>1491.387807196</v>
      </c>
      <c r="H40" s="246">
        <f t="shared" si="15"/>
        <v>1486.5724475476004</v>
      </c>
      <c r="I40" s="246">
        <f t="shared" si="15"/>
        <v>1481.7570878992001</v>
      </c>
      <c r="J40" s="246">
        <f t="shared" si="15"/>
        <v>1476.9417282507998</v>
      </c>
      <c r="K40" s="246">
        <f t="shared" si="15"/>
        <v>1472.1263686023999</v>
      </c>
      <c r="L40" s="246">
        <f t="shared" si="15"/>
        <v>1467.311008954</v>
      </c>
      <c r="M40" s="246">
        <f t="shared" si="15"/>
        <v>1462.4956493055993</v>
      </c>
      <c r="N40" s="246">
        <f t="shared" si="15"/>
        <v>990.30956810065504</v>
      </c>
      <c r="O40" s="246">
        <f t="shared" si="15"/>
        <v>988.77545949784667</v>
      </c>
      <c r="P40" s="246">
        <f t="shared" si="15"/>
        <v>981.35011586501082</v>
      </c>
      <c r="Q40" s="246">
        <f t="shared" si="15"/>
        <v>806.96902641544</v>
      </c>
      <c r="R40" s="246">
        <f t="shared" si="15"/>
        <v>531.1571528084329</v>
      </c>
      <c r="S40" s="246">
        <f t="shared" si="15"/>
        <v>297.99450376462147</v>
      </c>
      <c r="T40" s="246">
        <f t="shared" si="15"/>
        <v>303.53038691298735</v>
      </c>
      <c r="U40" s="246">
        <f t="shared" si="15"/>
        <v>-30.77874507873986</v>
      </c>
    </row>
    <row r="41" spans="2:21">
      <c r="B41" s="186" t="s">
        <v>480</v>
      </c>
      <c r="D41" s="245">
        <f>-D18*$D$12*'WACC &amp; Inputs'!$C$5/1000</f>
        <v>0</v>
      </c>
      <c r="E41" s="245">
        <f>-E18*$D$12*'WACC &amp; Inputs'!$C$5/1000</f>
        <v>0</v>
      </c>
      <c r="F41" s="245">
        <f>-F18*$D$12*'WACC &amp; Inputs'!$C$5/1000</f>
        <v>0</v>
      </c>
      <c r="G41" s="245">
        <f>-G18*$D$12*'WACC &amp; Inputs'!$C$5/1000</f>
        <v>-78.018749999999997</v>
      </c>
      <c r="H41" s="245">
        <f>-H18*$D$12*'WACC &amp; Inputs'!$C$5/1000</f>
        <v>-78.018749999999997</v>
      </c>
      <c r="I41" s="245">
        <f>-I18*$D$12*'WACC &amp; Inputs'!$C$5/1000</f>
        <v>-78.018749999999997</v>
      </c>
      <c r="J41" s="245">
        <f>-J18*$D$12*'WACC &amp; Inputs'!$C$5/1000</f>
        <v>-78.018749999999997</v>
      </c>
      <c r="K41" s="245">
        <f>-K18*$D$12*'WACC &amp; Inputs'!$C$5/1000</f>
        <v>-78.018749999999997</v>
      </c>
      <c r="L41" s="245">
        <f>-L18*$D$12*'WACC &amp; Inputs'!$C$5/1000</f>
        <v>-78.018749999999997</v>
      </c>
      <c r="M41" s="245">
        <f>-M18*$D$12*'WACC &amp; Inputs'!$C$5/1000</f>
        <v>-78.018749999999997</v>
      </c>
      <c r="N41" s="245">
        <f>-N18*$D$12*'WACC &amp; Inputs'!$C$5/1000</f>
        <v>-51.742035000000001</v>
      </c>
      <c r="O41" s="245">
        <f>-O18*$D$12*'WACC &amp; Inputs'!$C$5/1000</f>
        <v>-51.835657500000003</v>
      </c>
      <c r="P41" s="245">
        <f>-P18*$D$12*'WACC &amp; Inputs'!$C$5/1000</f>
        <v>-51.596400000000003</v>
      </c>
      <c r="Q41" s="245">
        <f>-Q18*$D$12*'WACC &amp; Inputs'!$C$5/1000</f>
        <v>-41.870062500000003</v>
      </c>
      <c r="R41" s="245">
        <f>-R18*$D$12*'WACC &amp; Inputs'!$C$5/1000</f>
        <v>-26.292318750000003</v>
      </c>
      <c r="S41" s="245">
        <f>-S18*$D$12*'WACC &amp; Inputs'!$C$5/1000</f>
        <v>-13.044735000000001</v>
      </c>
      <c r="T41" s="245">
        <f>-T18*$D$12*'WACC &amp; Inputs'!$C$5/1000</f>
        <v>-13.408822500000001</v>
      </c>
      <c r="U41" s="245">
        <f>-U18*$D$12*'WACC &amp; Inputs'!$C$5/1000</f>
        <v>-14.360651249999998</v>
      </c>
    </row>
    <row r="42" spans="2:21">
      <c r="B42" s="190" t="s">
        <v>277</v>
      </c>
      <c r="D42" s="246">
        <f t="shared" ref="D42:U42" si="16">D40+D41</f>
        <v>-1666.6666666666667</v>
      </c>
      <c r="E42" s="246">
        <f t="shared" si="16"/>
        <v>-1666.6666666666667</v>
      </c>
      <c r="F42" s="246">
        <f t="shared" si="16"/>
        <v>-1666.6666666666667</v>
      </c>
      <c r="G42" s="246">
        <f t="shared" si="16"/>
        <v>1413.3690571960001</v>
      </c>
      <c r="H42" s="246">
        <f t="shared" si="16"/>
        <v>1408.5536975476004</v>
      </c>
      <c r="I42" s="246">
        <f t="shared" si="16"/>
        <v>1403.7383378992001</v>
      </c>
      <c r="J42" s="246">
        <f t="shared" si="16"/>
        <v>1398.9229782507998</v>
      </c>
      <c r="K42" s="246">
        <f t="shared" si="16"/>
        <v>1394.1076186024</v>
      </c>
      <c r="L42" s="246">
        <f t="shared" si="16"/>
        <v>1389.2922589540001</v>
      </c>
      <c r="M42" s="246">
        <f t="shared" si="16"/>
        <v>1384.4768993055993</v>
      </c>
      <c r="N42" s="246">
        <f t="shared" si="16"/>
        <v>938.56753310065506</v>
      </c>
      <c r="O42" s="246">
        <f t="shared" si="16"/>
        <v>936.93980199784664</v>
      </c>
      <c r="P42" s="246">
        <f t="shared" si="16"/>
        <v>929.7537158650108</v>
      </c>
      <c r="Q42" s="246">
        <f t="shared" si="16"/>
        <v>765.09896391543998</v>
      </c>
      <c r="R42" s="246">
        <f t="shared" si="16"/>
        <v>504.8648340584329</v>
      </c>
      <c r="S42" s="246">
        <f t="shared" si="16"/>
        <v>284.94976876462147</v>
      </c>
      <c r="T42" s="246">
        <f t="shared" si="16"/>
        <v>290.12156441298737</v>
      </c>
      <c r="U42" s="246">
        <f t="shared" si="16"/>
        <v>-45.139396328739856</v>
      </c>
    </row>
    <row r="43" spans="2:21">
      <c r="B43" s="186" t="s">
        <v>481</v>
      </c>
      <c r="D43" s="247">
        <f t="shared" ref="D43:U43" si="17">1/(1+$D$14)^(D$16-2026)</f>
        <v>0.88812967026611755</v>
      </c>
      <c r="E43" s="247">
        <f t="shared" si="17"/>
        <v>0.7887743112070027</v>
      </c>
      <c r="F43" s="247">
        <f t="shared" si="17"/>
        <v>0.70053386892665925</v>
      </c>
      <c r="G43" s="247">
        <f t="shared" si="17"/>
        <v>0.62216491402008156</v>
      </c>
      <c r="H43" s="247">
        <f t="shared" si="17"/>
        <v>0.55256311993980245</v>
      </c>
      <c r="I43" s="247">
        <f t="shared" si="17"/>
        <v>0.49074770151335395</v>
      </c>
      <c r="J43" s="247">
        <f t="shared" si="17"/>
        <v>0.43584759432891007</v>
      </c>
      <c r="K43" s="247">
        <f t="shared" si="17"/>
        <v>0.38708918023761552</v>
      </c>
      <c r="L43" s="247">
        <f t="shared" si="17"/>
        <v>0.34378538600801523</v>
      </c>
      <c r="M43" s="247">
        <f t="shared" si="17"/>
        <v>0.30532600151760853</v>
      </c>
      <c r="N43" s="247">
        <f t="shared" si="17"/>
        <v>0.27116908105150572</v>
      </c>
      <c r="O43" s="247">
        <f t="shared" si="17"/>
        <v>0.24083330654063995</v>
      </c>
      <c r="P43" s="247">
        <f t="shared" si="17"/>
        <v>0.21389120512703735</v>
      </c>
      <c r="Q43" s="247">
        <f t="shared" si="17"/>
        <v>0.18996312548229821</v>
      </c>
      <c r="R43" s="247">
        <f t="shared" si="17"/>
        <v>0.1687118879973146</v>
      </c>
      <c r="S43" s="247">
        <f t="shared" si="17"/>
        <v>0.1498380334570292</v>
      </c>
      <c r="T43" s="247">
        <f t="shared" si="17"/>
        <v>0.13307560324751483</v>
      </c>
      <c r="U43" s="247">
        <f t="shared" si="17"/>
        <v>0.11818839163268004</v>
      </c>
    </row>
    <row r="44" spans="2:21">
      <c r="B44" s="186" t="s">
        <v>482</v>
      </c>
      <c r="D44" s="245">
        <f t="shared" ref="D44:U44" si="18">D42*D43</f>
        <v>-1480.2161171101959</v>
      </c>
      <c r="E44" s="245">
        <f t="shared" si="18"/>
        <v>-1314.6238520116713</v>
      </c>
      <c r="F44" s="245">
        <f t="shared" si="18"/>
        <v>-1167.5564482110988</v>
      </c>
      <c r="G44" s="245">
        <f t="shared" si="18"/>
        <v>879.34863794899309</v>
      </c>
      <c r="H44" s="245">
        <f t="shared" si="18"/>
        <v>778.31482571964693</v>
      </c>
      <c r="I44" s="245">
        <f t="shared" si="18"/>
        <v>688.88136285020823</v>
      </c>
      <c r="J44" s="245">
        <f t="shared" si="18"/>
        <v>609.71721472204524</v>
      </c>
      <c r="K44" s="245">
        <f t="shared" si="18"/>
        <v>539.64397524781737</v>
      </c>
      <c r="L44" s="245">
        <f t="shared" si="18"/>
        <v>477.61837552244839</v>
      </c>
      <c r="M44" s="245">
        <f t="shared" si="18"/>
        <v>422.71679585847534</v>
      </c>
      <c r="N44" s="245">
        <f t="shared" si="18"/>
        <v>254.5104954556833</v>
      </c>
      <c r="O44" s="245">
        <f t="shared" si="18"/>
        <v>225.6463105446739</v>
      </c>
      <c r="P44" s="245">
        <f t="shared" si="18"/>
        <v>198.86614275770822</v>
      </c>
      <c r="Q44" s="245">
        <f t="shared" si="18"/>
        <v>145.34059048864506</v>
      </c>
      <c r="R44" s="245">
        <f t="shared" si="18"/>
        <v>85.176699337449151</v>
      </c>
      <c r="S44" s="245">
        <f t="shared" si="18"/>
        <v>42.696312985726088</v>
      </c>
      <c r="T44" s="245">
        <f t="shared" si="18"/>
        <v>38.608102199371025</v>
      </c>
      <c r="U44" s="245">
        <f>U42*U43</f>
        <v>-5.3349526513638654</v>
      </c>
    </row>
    <row r="46" spans="2:21">
      <c r="B46" s="185" t="s">
        <v>483</v>
      </c>
      <c r="C46" s="185"/>
      <c r="D46" s="185"/>
    </row>
    <row r="47" spans="2:21">
      <c r="B47" s="190" t="s">
        <v>334</v>
      </c>
      <c r="D47" s="248">
        <f>SUM(D44:U44)</f>
        <v>1419.3544716545621</v>
      </c>
    </row>
    <row r="48" spans="2:21">
      <c r="B48" s="190" t="s">
        <v>282</v>
      </c>
      <c r="D48" s="249">
        <f>IRR(D42:U42,0.1)</f>
        <v>0.19021177123834732</v>
      </c>
    </row>
    <row r="49" spans="2:21">
      <c r="B49" s="186" t="s">
        <v>284</v>
      </c>
      <c r="D49" s="236">
        <f>D14</f>
        <v>0.12596170748395533</v>
      </c>
    </row>
    <row r="50" spans="2:21">
      <c r="B50" s="186" t="s">
        <v>337</v>
      </c>
      <c r="D50" s="250">
        <f>D48-D49</f>
        <v>6.4250063754391989E-2</v>
      </c>
    </row>
    <row r="51" spans="2:21">
      <c r="B51" s="186" t="s">
        <v>338</v>
      </c>
      <c r="D51" s="245">
        <f>SUMPRODUCT(D40:U40,D43:U43)</f>
        <v>1719.5166148182846</v>
      </c>
    </row>
    <row r="53" spans="2:21">
      <c r="B53" s="185" t="s">
        <v>484</v>
      </c>
      <c r="C53" s="185"/>
      <c r="D53" s="185"/>
      <c r="E53" s="185"/>
      <c r="F53" s="185"/>
      <c r="G53" s="185"/>
      <c r="H53" s="185"/>
      <c r="I53" s="185"/>
      <c r="J53" s="185"/>
      <c r="K53" s="185"/>
      <c r="L53" s="185"/>
      <c r="M53" s="185"/>
      <c r="N53" s="185"/>
      <c r="O53" s="185"/>
      <c r="P53" s="185"/>
      <c r="Q53" s="185"/>
      <c r="R53" s="185"/>
      <c r="S53" s="185"/>
      <c r="T53" s="185"/>
      <c r="U53" s="185"/>
    </row>
    <row r="54" spans="2:21">
      <c r="B54" s="186" t="s">
        <v>485</v>
      </c>
      <c r="D54" s="229">
        <f>'Exhibit 2'!$E$76*(1+'Exhibit 12'!$D$5)^(D$16-2026)</f>
        <v>15810.5</v>
      </c>
      <c r="E54" s="229">
        <f>'Exhibit 2'!$E$76*(1+'Exhibit 12'!$D$5)^(E$16-2026)</f>
        <v>16284.814999999999</v>
      </c>
      <c r="F54" s="229">
        <f>'Exhibit 2'!$E$76*(1+'Exhibit 12'!$D$5)^(F$16-2026)</f>
        <v>16773.35945</v>
      </c>
      <c r="G54" s="229">
        <f>'Exhibit 2'!$E$76*(1+'Exhibit 12'!$D$5)^(G$16-2026)</f>
        <v>17276.5602335</v>
      </c>
      <c r="H54" s="229">
        <f>'Exhibit 2'!$E$76*(1+'Exhibit 12'!$D$5)^(H$16-2026)</f>
        <v>17794.857040504998</v>
      </c>
      <c r="I54" s="229">
        <f>'Exhibit 2'!$E$76*(1+'Exhibit 12'!$D$5)^(I$16-2026)</f>
        <v>18328.70275172015</v>
      </c>
      <c r="J54" s="229">
        <f>'Exhibit 2'!$E$76*(1+'Exhibit 12'!$D$5)^(J$16-2026)</f>
        <v>18878.563834271754</v>
      </c>
      <c r="K54" s="229">
        <f>'Exhibit 2'!$E$76*(1+'Exhibit 12'!$D$5)^(K$16-2026)</f>
        <v>19444.920749299905</v>
      </c>
      <c r="L54" s="229">
        <f>'Exhibit 2'!$E$76*(1+'Exhibit 12'!$D$5)^(L$16-2026)</f>
        <v>20028.268371778904</v>
      </c>
      <c r="M54" s="229">
        <f>'Exhibit 2'!$E$76*(1+'Exhibit 12'!$D$5)^(M$16-2026)</f>
        <v>20629.116422932268</v>
      </c>
      <c r="N54" s="229">
        <f>'Exhibit 2'!$E$76*(1+'Exhibit 12'!$D$5)^(N$16-2026)</f>
        <v>21247.989915620237</v>
      </c>
      <c r="O54" s="229">
        <f>'Exhibit 2'!$E$76*(1+'Exhibit 12'!$D$5)^(O$16-2026)</f>
        <v>21885.429613088843</v>
      </c>
      <c r="P54" s="229">
        <f>'Exhibit 2'!$E$76*(1+'Exhibit 12'!$D$5)^(P$16-2026)</f>
        <v>22541.992501481505</v>
      </c>
      <c r="Q54" s="229">
        <f>'Exhibit 2'!$E$76*(1+'Exhibit 12'!$D$5)^(Q$16-2026)</f>
        <v>23218.252276525953</v>
      </c>
      <c r="R54" s="229">
        <f>'Exhibit 2'!$E$76*(1+'Exhibit 12'!$D$5)^(R$16-2026)</f>
        <v>23914.799844821733</v>
      </c>
      <c r="S54" s="229">
        <f>'Exhibit 2'!$E$76*(1+'Exhibit 12'!$D$5)^(S$16-2026)</f>
        <v>24632.243840166382</v>
      </c>
      <c r="T54" s="229">
        <f>'Exhibit 2'!$E$76*(1+'Exhibit 12'!$D$5)^(T$16-2026)</f>
        <v>25371.211155371373</v>
      </c>
      <c r="U54" s="229">
        <f>'Exhibit 2'!$E$76*(1+'Exhibit 12'!$D$5)^(U$16-2026)</f>
        <v>26132.347490032516</v>
      </c>
    </row>
    <row r="55" spans="2:21">
      <c r="B55" s="186" t="s">
        <v>303</v>
      </c>
      <c r="D55" s="245">
        <f t="shared" ref="D55:U55" si="19">D34</f>
        <v>0</v>
      </c>
      <c r="E55" s="245">
        <f t="shared" si="19"/>
        <v>0</v>
      </c>
      <c r="F55" s="245">
        <f t="shared" si="19"/>
        <v>0</v>
      </c>
      <c r="G55" s="245">
        <f t="shared" si="19"/>
        <v>1799.2250724</v>
      </c>
      <c r="H55" s="245">
        <f t="shared" si="19"/>
        <v>1793.1296804400004</v>
      </c>
      <c r="I55" s="245">
        <f t="shared" si="19"/>
        <v>1787.0342884800002</v>
      </c>
      <c r="J55" s="245">
        <f t="shared" si="19"/>
        <v>1780.9388965199996</v>
      </c>
      <c r="K55" s="245">
        <f t="shared" si="19"/>
        <v>1774.8435045599999</v>
      </c>
      <c r="L55" s="245">
        <f t="shared" si="19"/>
        <v>1768.7481126000002</v>
      </c>
      <c r="M55" s="245">
        <f t="shared" si="19"/>
        <v>1762.6527206399992</v>
      </c>
      <c r="N55" s="245">
        <f t="shared" si="19"/>
        <v>1164.9488203805761</v>
      </c>
      <c r="O55" s="245">
        <f t="shared" si="19"/>
        <v>1163.0069107567679</v>
      </c>
      <c r="P55" s="245">
        <f t="shared" si="19"/>
        <v>1153.6077416012795</v>
      </c>
      <c r="Q55" s="245">
        <f t="shared" si="19"/>
        <v>932.87218533600003</v>
      </c>
      <c r="R55" s="245">
        <f t="shared" si="19"/>
        <v>583.74323140307968</v>
      </c>
      <c r="S55" s="245">
        <f t="shared" si="19"/>
        <v>288.60063767673603</v>
      </c>
      <c r="T55" s="245">
        <f t="shared" si="19"/>
        <v>295.60808469998398</v>
      </c>
      <c r="U55" s="245">
        <f t="shared" si="19"/>
        <v>315.46994293830397</v>
      </c>
    </row>
    <row r="56" spans="2:21">
      <c r="B56" s="190" t="s">
        <v>226</v>
      </c>
      <c r="D56" s="246">
        <f t="shared" ref="D56:U56" si="20">D54+D55</f>
        <v>15810.5</v>
      </c>
      <c r="E56" s="246">
        <f t="shared" si="20"/>
        <v>16284.814999999999</v>
      </c>
      <c r="F56" s="246">
        <f t="shared" si="20"/>
        <v>16773.35945</v>
      </c>
      <c r="G56" s="246">
        <f t="shared" si="20"/>
        <v>19075.785305900001</v>
      </c>
      <c r="H56" s="246">
        <f t="shared" si="20"/>
        <v>19587.986720944999</v>
      </c>
      <c r="I56" s="246">
        <f t="shared" si="20"/>
        <v>20115.737040200151</v>
      </c>
      <c r="J56" s="246">
        <f t="shared" si="20"/>
        <v>20659.502730791755</v>
      </c>
      <c r="K56" s="246">
        <f t="shared" si="20"/>
        <v>21219.764253859903</v>
      </c>
      <c r="L56" s="246">
        <f t="shared" si="20"/>
        <v>21797.016484378903</v>
      </c>
      <c r="M56" s="246">
        <f t="shared" si="20"/>
        <v>22391.769143572266</v>
      </c>
      <c r="N56" s="246">
        <f t="shared" si="20"/>
        <v>22412.938736000815</v>
      </c>
      <c r="O56" s="246">
        <f t="shared" si="20"/>
        <v>23048.436523845612</v>
      </c>
      <c r="P56" s="246">
        <f t="shared" si="20"/>
        <v>23695.600243082787</v>
      </c>
      <c r="Q56" s="246">
        <f t="shared" si="20"/>
        <v>24151.124461861953</v>
      </c>
      <c r="R56" s="246">
        <f t="shared" si="20"/>
        <v>24498.543076224814</v>
      </c>
      <c r="S56" s="246">
        <f t="shared" si="20"/>
        <v>24920.844477843119</v>
      </c>
      <c r="T56" s="246">
        <f t="shared" si="20"/>
        <v>25666.819240071356</v>
      </c>
      <c r="U56" s="246">
        <f t="shared" si="20"/>
        <v>26447.81743297082</v>
      </c>
    </row>
    <row r="57" spans="2:21">
      <c r="B57" s="186" t="s">
        <v>305</v>
      </c>
      <c r="D57" s="229">
        <f>'Exhibit 2'!$E$73</f>
        <v>24318</v>
      </c>
      <c r="E57" s="245">
        <f t="shared" ref="E57:U57" si="21">D61</f>
        <v>25537.566666666669</v>
      </c>
      <c r="F57" s="245">
        <f t="shared" si="21"/>
        <v>26766.778333333339</v>
      </c>
      <c r="G57" s="245">
        <f t="shared" si="21"/>
        <v>28007.077250000009</v>
      </c>
      <c r="H57" s="245">
        <f t="shared" si="21"/>
        <v>26101.952105304012</v>
      </c>
      <c r="I57" s="245">
        <f t="shared" si="21"/>
        <v>24215.922717381411</v>
      </c>
      <c r="J57" s="245">
        <f t="shared" si="21"/>
        <v>22350.752124008461</v>
      </c>
      <c r="K57" s="245">
        <f t="shared" si="21"/>
        <v>20508.322985387822</v>
      </c>
      <c r="L57" s="245">
        <f t="shared" si="21"/>
        <v>18690.64450938602</v>
      </c>
      <c r="M57" s="245">
        <f t="shared" si="21"/>
        <v>16899.859751356249</v>
      </c>
      <c r="N57" s="245">
        <f t="shared" si="21"/>
        <v>15138.25330812549</v>
      </c>
      <c r="O57" s="245">
        <f t="shared" si="21"/>
        <v>13875.630148285953</v>
      </c>
      <c r="P57" s="245">
        <f t="shared" si="21"/>
        <v>12643.930741601293</v>
      </c>
      <c r="Q57" s="245">
        <f t="shared" si="21"/>
        <v>11451.805965053311</v>
      </c>
      <c r="R57" s="245">
        <f t="shared" si="21"/>
        <v>10469.147893299827</v>
      </c>
      <c r="S57" s="245">
        <f t="shared" si="21"/>
        <v>9800.510321716898</v>
      </c>
      <c r="T57" s="245">
        <f t="shared" si="21"/>
        <v>9406.5642494344193</v>
      </c>
      <c r="U57" s="245">
        <f t="shared" si="21"/>
        <v>9052.1396729089065</v>
      </c>
    </row>
    <row r="58" spans="2:21">
      <c r="B58" s="186" t="s">
        <v>486</v>
      </c>
      <c r="D58" s="229">
        <f>'Exhibit 12'!$D$8*(1+'Exhibit 12'!$D$6)^(D$16-2027)</f>
        <v>1600</v>
      </c>
      <c r="E58" s="229">
        <f>'Exhibit 12'!$D$8*(1+'Exhibit 12'!$D$6)^(E$16-2027)</f>
        <v>1648</v>
      </c>
      <c r="F58" s="229">
        <f>'Exhibit 12'!$D$8*(1+'Exhibit 12'!$D$6)^(F$16-2027)</f>
        <v>1697.4399999999998</v>
      </c>
      <c r="G58" s="229">
        <f>'Exhibit 12'!$D$8*(1+'Exhibit 12'!$D$6)^(G$16-2027)</f>
        <v>1748.3632</v>
      </c>
      <c r="H58" s="229">
        <f>'Exhibit 12'!$D$8*(1+'Exhibit 12'!$D$6)^(H$16-2027)</f>
        <v>1800.8140959999998</v>
      </c>
      <c r="I58" s="229">
        <f>'Exhibit 12'!$D$8*(1+'Exhibit 12'!$D$6)^(I$16-2027)</f>
        <v>1854.8385188799998</v>
      </c>
      <c r="J58" s="229">
        <f>'Exhibit 12'!$D$8*(1+'Exhibit 12'!$D$6)^(J$16-2027)</f>
        <v>1910.4836744463998</v>
      </c>
      <c r="K58" s="229">
        <f>'Exhibit 12'!$D$8*(1+'Exhibit 12'!$D$6)^(K$16-2027)</f>
        <v>1967.798184679792</v>
      </c>
      <c r="L58" s="229">
        <f>'Exhibit 12'!$D$8*(1+'Exhibit 12'!$D$6)^(L$16-2027)</f>
        <v>2026.8321302201855</v>
      </c>
      <c r="M58" s="229">
        <f>'Exhibit 12'!$D$8*(1+'Exhibit 12'!$D$6)^(M$16-2027)</f>
        <v>2087.637094126791</v>
      </c>
      <c r="N58" s="229">
        <f>'Exhibit 12'!$D$8*(1+'Exhibit 12'!$D$6)^(N$16-2027)</f>
        <v>2150.266206950595</v>
      </c>
      <c r="O58" s="229">
        <f>'Exhibit 12'!$D$8*(1+'Exhibit 12'!$D$6)^(O$16-2027)</f>
        <v>2214.7741931591127</v>
      </c>
      <c r="P58" s="229">
        <f>'Exhibit 12'!$D$8*(1+'Exhibit 12'!$D$6)^(P$16-2027)</f>
        <v>2281.217418953886</v>
      </c>
      <c r="Q58" s="229">
        <f>'Exhibit 12'!$D$8*(1+'Exhibit 12'!$D$6)^(Q$16-2027)</f>
        <v>2349.6539415225025</v>
      </c>
      <c r="R58" s="229">
        <f>'Exhibit 12'!$D$8*(1+'Exhibit 12'!$D$6)^(R$16-2027)</f>
        <v>2420.1435597681775</v>
      </c>
      <c r="S58" s="229">
        <f>'Exhibit 12'!$D$8*(1+'Exhibit 12'!$D$6)^(S$16-2027)</f>
        <v>2492.747866561223</v>
      </c>
      <c r="T58" s="229">
        <f>'Exhibit 12'!$D$8*(1+'Exhibit 12'!$D$6)^(T$16-2027)</f>
        <v>2567.5303025580592</v>
      </c>
      <c r="U58" s="229">
        <f>'Exhibit 12'!$D$8*(1+'Exhibit 12'!$D$6)^(U$16-2027)</f>
        <v>2644.556211634801</v>
      </c>
    </row>
    <row r="59" spans="2:21">
      <c r="B59" s="186" t="s">
        <v>487</v>
      </c>
      <c r="D59" s="229">
        <f>-'Exhibit 2'!$E$64*(1+'Exhibit 12'!$D$7)^(D$16-2026)</f>
        <v>1152.9000000000001</v>
      </c>
      <c r="E59" s="229">
        <f>-'Exhibit 2'!$E$64*(1+'Exhibit 12'!$D$7)^(E$16-2026)</f>
        <v>1210.5450000000001</v>
      </c>
      <c r="F59" s="229">
        <f>-'Exhibit 2'!$E$64*(1+'Exhibit 12'!$D$7)^(F$16-2026)</f>
        <v>1271.0722500000002</v>
      </c>
      <c r="G59" s="229">
        <f>-'Exhibit 2'!$E$64*(1+'Exhibit 12'!$D$7)^(G$16-2026)</f>
        <v>1334.6258625</v>
      </c>
      <c r="H59" s="229">
        <f>-'Exhibit 2'!$E$64*(1+'Exhibit 12'!$D$7)^(H$16-2026)</f>
        <v>1401.3571556250001</v>
      </c>
      <c r="I59" s="229">
        <f>-'Exhibit 2'!$E$64*(1+'Exhibit 12'!$D$7)^(I$16-2026)</f>
        <v>1471.4250134062499</v>
      </c>
      <c r="J59" s="229">
        <f>-'Exhibit 2'!$E$64*(1+'Exhibit 12'!$D$7)^(J$16-2026)</f>
        <v>1544.9962640765627</v>
      </c>
      <c r="K59" s="229">
        <f>-'Exhibit 2'!$E$64*(1+'Exhibit 12'!$D$7)^(K$16-2026)</f>
        <v>1622.2460772803906</v>
      </c>
      <c r="L59" s="229">
        <f>-'Exhibit 2'!$E$64*(1+'Exhibit 12'!$D$7)^(L$16-2026)</f>
        <v>1703.3583811444103</v>
      </c>
      <c r="M59" s="229">
        <f>-'Exhibit 2'!$E$64*(1+'Exhibit 12'!$D$7)^(M$16-2026)</f>
        <v>1788.5263002016309</v>
      </c>
      <c r="N59" s="229">
        <f>-'Exhibit 2'!$E$64*(1+'Exhibit 12'!$D$7)^(N$16-2026)</f>
        <v>1877.9526152117126</v>
      </c>
      <c r="O59" s="229">
        <f>-'Exhibit 2'!$E$64*(1+'Exhibit 12'!$D$7)^(O$16-2026)</f>
        <v>1971.8502459722979</v>
      </c>
      <c r="P59" s="229">
        <f>-'Exhibit 2'!$E$64*(1+'Exhibit 12'!$D$7)^(P$16-2026)</f>
        <v>2070.4427582709131</v>
      </c>
      <c r="Q59" s="229">
        <f>-'Exhibit 2'!$E$64*(1+'Exhibit 12'!$D$7)^(Q$16-2026)</f>
        <v>2173.9648961844582</v>
      </c>
      <c r="R59" s="229">
        <f>-'Exhibit 2'!$E$64*(1+'Exhibit 12'!$D$7)^(R$16-2026)</f>
        <v>2282.6631409936817</v>
      </c>
      <c r="S59" s="229">
        <f>-'Exhibit 2'!$E$64*(1+'Exhibit 12'!$D$7)^(S$16-2026)</f>
        <v>2396.7962980433658</v>
      </c>
      <c r="T59" s="229">
        <f>-'Exhibit 2'!$E$64*(1+'Exhibit 12'!$D$7)^(T$16-2026)</f>
        <v>2516.6361129455345</v>
      </c>
      <c r="U59" s="229">
        <f>-'Exhibit 2'!$E$64*(1+'Exhibit 12'!$D$7)^(U$16-2026)</f>
        <v>2642.4679185928112</v>
      </c>
    </row>
    <row r="60" spans="2:21">
      <c r="B60" s="186" t="s">
        <v>311</v>
      </c>
      <c r="D60" s="245">
        <f t="shared" ref="D60:U60" si="22">D40</f>
        <v>-1666.6666666666667</v>
      </c>
      <c r="E60" s="245">
        <f t="shared" si="22"/>
        <v>-1666.6666666666667</v>
      </c>
      <c r="F60" s="245">
        <f t="shared" si="22"/>
        <v>-1666.6666666666667</v>
      </c>
      <c r="G60" s="245">
        <f t="shared" si="22"/>
        <v>1491.387807196</v>
      </c>
      <c r="H60" s="245">
        <f t="shared" si="22"/>
        <v>1486.5724475476004</v>
      </c>
      <c r="I60" s="245">
        <f t="shared" si="22"/>
        <v>1481.7570878992001</v>
      </c>
      <c r="J60" s="245">
        <f t="shared" si="22"/>
        <v>1476.9417282507998</v>
      </c>
      <c r="K60" s="245">
        <f t="shared" si="22"/>
        <v>1472.1263686023999</v>
      </c>
      <c r="L60" s="245">
        <f t="shared" si="22"/>
        <v>1467.311008954</v>
      </c>
      <c r="M60" s="245">
        <f t="shared" si="22"/>
        <v>1462.4956493055993</v>
      </c>
      <c r="N60" s="245">
        <f t="shared" si="22"/>
        <v>990.30956810065504</v>
      </c>
      <c r="O60" s="245">
        <f t="shared" si="22"/>
        <v>988.77545949784667</v>
      </c>
      <c r="P60" s="245">
        <f t="shared" si="22"/>
        <v>981.35011586501082</v>
      </c>
      <c r="Q60" s="245">
        <f t="shared" si="22"/>
        <v>806.96902641544</v>
      </c>
      <c r="R60" s="245">
        <f t="shared" si="22"/>
        <v>531.1571528084329</v>
      </c>
      <c r="S60" s="245">
        <f t="shared" si="22"/>
        <v>297.99450376462147</v>
      </c>
      <c r="T60" s="245">
        <f t="shared" si="22"/>
        <v>303.53038691298735</v>
      </c>
      <c r="U60" s="245">
        <f t="shared" si="22"/>
        <v>-30.77874507873986</v>
      </c>
    </row>
    <row r="61" spans="2:21">
      <c r="B61" s="190" t="s">
        <v>313</v>
      </c>
      <c r="D61" s="246">
        <f>D57-D58+D59-D60</f>
        <v>25537.566666666669</v>
      </c>
      <c r="E61" s="246">
        <f>E57-E58+E59-E60</f>
        <v>26766.778333333339</v>
      </c>
      <c r="F61" s="246">
        <f t="shared" ref="D61:U61" si="23">F57-F58+F59-F60</f>
        <v>28007.077250000009</v>
      </c>
      <c r="G61" s="246">
        <f t="shared" si="23"/>
        <v>26101.952105304012</v>
      </c>
      <c r="H61" s="246">
        <f t="shared" si="23"/>
        <v>24215.922717381411</v>
      </c>
      <c r="I61" s="246">
        <f t="shared" si="23"/>
        <v>22350.752124008461</v>
      </c>
      <c r="J61" s="246">
        <f t="shared" si="23"/>
        <v>20508.322985387822</v>
      </c>
      <c r="K61" s="246">
        <f t="shared" si="23"/>
        <v>18690.64450938602</v>
      </c>
      <c r="L61" s="246">
        <f t="shared" si="23"/>
        <v>16899.859751356249</v>
      </c>
      <c r="M61" s="246">
        <f t="shared" si="23"/>
        <v>15138.25330812549</v>
      </c>
      <c r="N61" s="246">
        <f t="shared" si="23"/>
        <v>13875.630148285953</v>
      </c>
      <c r="O61" s="246">
        <f t="shared" si="23"/>
        <v>12643.930741601293</v>
      </c>
      <c r="P61" s="246">
        <f t="shared" si="23"/>
        <v>11451.805965053311</v>
      </c>
      <c r="Q61" s="246">
        <f t="shared" si="23"/>
        <v>10469.147893299827</v>
      </c>
      <c r="R61" s="246">
        <f t="shared" si="23"/>
        <v>9800.510321716898</v>
      </c>
      <c r="S61" s="246">
        <f t="shared" si="23"/>
        <v>9406.5642494344193</v>
      </c>
      <c r="T61" s="246">
        <f t="shared" si="23"/>
        <v>9052.1396729089065</v>
      </c>
      <c r="U61" s="246">
        <f t="shared" si="23"/>
        <v>9080.8301249456563</v>
      </c>
    </row>
    <row r="62" spans="2:21">
      <c r="B62" s="190" t="s">
        <v>315</v>
      </c>
      <c r="D62" s="251">
        <f t="shared" ref="D62:U62" si="24">D61/D56</f>
        <v>1.6152282765672603</v>
      </c>
      <c r="E62" s="251">
        <f t="shared" si="24"/>
        <v>1.6436648702078189</v>
      </c>
      <c r="F62" s="251">
        <f t="shared" si="24"/>
        <v>1.6697357099802692</v>
      </c>
      <c r="G62" s="251">
        <f t="shared" si="24"/>
        <v>1.3683290982117977</v>
      </c>
      <c r="H62" s="251">
        <f t="shared" si="24"/>
        <v>1.2362639949866754</v>
      </c>
      <c r="I62" s="251">
        <f t="shared" si="24"/>
        <v>1.111107789853375</v>
      </c>
      <c r="J62" s="251">
        <f t="shared" si="24"/>
        <v>0.99268231441124621</v>
      </c>
      <c r="K62" s="251">
        <f t="shared" si="24"/>
        <v>0.88081301402706047</v>
      </c>
      <c r="L62" s="251">
        <f t="shared" si="24"/>
        <v>0.77532903475426274</v>
      </c>
      <c r="M62" s="251">
        <f t="shared" si="24"/>
        <v>0.67606329857464809</v>
      </c>
      <c r="N62" s="251">
        <f t="shared" si="24"/>
        <v>0.6190901742839372</v>
      </c>
      <c r="O62" s="251">
        <f t="shared" si="24"/>
        <v>0.54858084315263844</v>
      </c>
      <c r="P62" s="251">
        <f t="shared" si="24"/>
        <v>0.48328828337641788</v>
      </c>
      <c r="Q62" s="251">
        <f t="shared" si="24"/>
        <v>0.43348490501268772</v>
      </c>
      <c r="R62" s="251">
        <f t="shared" si="24"/>
        <v>0.40004461862175117</v>
      </c>
      <c r="S62" s="251">
        <f t="shared" si="24"/>
        <v>0.37745768438135008</v>
      </c>
      <c r="T62" s="251">
        <f t="shared" si="24"/>
        <v>0.3526786700074076</v>
      </c>
      <c r="U62" s="251">
        <f t="shared" si="24"/>
        <v>0.34334894166447022</v>
      </c>
    </row>
    <row r="63" spans="2:21">
      <c r="B63" s="186" t="s">
        <v>233</v>
      </c>
      <c r="D63" s="223">
        <f>'WACC &amp; Inputs'!$C$9</f>
        <v>1.75</v>
      </c>
      <c r="E63" s="223">
        <f>'WACC &amp; Inputs'!$C$9</f>
        <v>1.75</v>
      </c>
      <c r="F63" s="223">
        <f>'WACC &amp; Inputs'!$C$9</f>
        <v>1.75</v>
      </c>
      <c r="G63" s="223">
        <f>'WACC &amp; Inputs'!$C$9</f>
        <v>1.75</v>
      </c>
      <c r="H63" s="223">
        <f>'WACC &amp; Inputs'!$C$9</f>
        <v>1.75</v>
      </c>
      <c r="I63" s="223">
        <f>'WACC &amp; Inputs'!$C$9</f>
        <v>1.75</v>
      </c>
      <c r="J63" s="223">
        <f>'WACC &amp; Inputs'!$C$9</f>
        <v>1.75</v>
      </c>
      <c r="K63" s="223">
        <f>'WACC &amp; Inputs'!$C$9</f>
        <v>1.75</v>
      </c>
      <c r="L63" s="223">
        <f>'WACC &amp; Inputs'!$C$9</f>
        <v>1.75</v>
      </c>
      <c r="M63" s="223">
        <f>'WACC &amp; Inputs'!$C$9</f>
        <v>1.75</v>
      </c>
      <c r="N63" s="223">
        <f>'WACC &amp; Inputs'!$C$9</f>
        <v>1.75</v>
      </c>
      <c r="O63" s="223">
        <f>'WACC &amp; Inputs'!$C$9</f>
        <v>1.75</v>
      </c>
      <c r="P63" s="223">
        <f>'WACC &amp; Inputs'!$C$9</f>
        <v>1.75</v>
      </c>
      <c r="Q63" s="223">
        <f>'WACC &amp; Inputs'!$C$9</f>
        <v>1.75</v>
      </c>
      <c r="R63" s="223">
        <f>'WACC &amp; Inputs'!$C$9</f>
        <v>1.75</v>
      </c>
      <c r="S63" s="223">
        <f>'WACC &amp; Inputs'!$C$9</f>
        <v>1.75</v>
      </c>
      <c r="T63" s="223">
        <f>'WACC &amp; Inputs'!$C$9</f>
        <v>1.75</v>
      </c>
      <c r="U63" s="223">
        <f>'WACC &amp; Inputs'!$C$9</f>
        <v>1.75</v>
      </c>
    </row>
    <row r="64" spans="2:21">
      <c r="B64" s="186" t="s">
        <v>488</v>
      </c>
      <c r="D64" s="245">
        <f t="shared" ref="D64:U64" si="25">D63*D56-D61</f>
        <v>2130.8083333333307</v>
      </c>
      <c r="E64" s="245">
        <f t="shared" si="25"/>
        <v>1731.6479166666577</v>
      </c>
      <c r="F64" s="245">
        <f t="shared" si="25"/>
        <v>1346.3017874999896</v>
      </c>
      <c r="G64" s="245">
        <f t="shared" si="25"/>
        <v>7280.6721800209889</v>
      </c>
      <c r="H64" s="245">
        <f t="shared" si="25"/>
        <v>10063.05404427234</v>
      </c>
      <c r="I64" s="245">
        <f t="shared" si="25"/>
        <v>12851.787696341802</v>
      </c>
      <c r="J64" s="245">
        <f t="shared" si="25"/>
        <v>15645.806793497752</v>
      </c>
      <c r="K64" s="245">
        <f t="shared" si="25"/>
        <v>18443.94293486881</v>
      </c>
      <c r="L64" s="245">
        <f t="shared" si="25"/>
        <v>21244.919096306832</v>
      </c>
      <c r="M64" s="245">
        <f t="shared" si="25"/>
        <v>24047.342693125982</v>
      </c>
      <c r="N64" s="245">
        <f t="shared" si="25"/>
        <v>25347.012639715471</v>
      </c>
      <c r="O64" s="245">
        <f t="shared" si="25"/>
        <v>27690.833175128526</v>
      </c>
      <c r="P64" s="245">
        <f t="shared" si="25"/>
        <v>30015.494460341564</v>
      </c>
      <c r="Q64" s="245">
        <f t="shared" si="25"/>
        <v>31795.319914958585</v>
      </c>
      <c r="R64" s="245">
        <f t="shared" si="25"/>
        <v>33071.940061676534</v>
      </c>
      <c r="S64" s="245">
        <f t="shared" si="25"/>
        <v>34204.913586791037</v>
      </c>
      <c r="T64" s="245">
        <f t="shared" si="25"/>
        <v>35864.793997215966</v>
      </c>
      <c r="U64" s="245">
        <f t="shared" si="25"/>
        <v>37202.850382753277</v>
      </c>
    </row>
    <row r="65" spans="2:21">
      <c r="B65" s="190" t="s">
        <v>320</v>
      </c>
      <c r="D65" s="193" t="str">
        <f t="shared" ref="D65:U65" si="26">IF(D62&lt;=D63,"PASS","BREACH")</f>
        <v>PASS</v>
      </c>
      <c r="E65" s="193" t="str">
        <f t="shared" si="26"/>
        <v>PASS</v>
      </c>
      <c r="F65" s="193" t="str">
        <f t="shared" si="26"/>
        <v>PASS</v>
      </c>
      <c r="G65" s="193" t="str">
        <f t="shared" si="26"/>
        <v>PASS</v>
      </c>
      <c r="H65" s="193" t="str">
        <f t="shared" si="26"/>
        <v>PASS</v>
      </c>
      <c r="I65" s="193" t="str">
        <f t="shared" si="26"/>
        <v>PASS</v>
      </c>
      <c r="J65" s="193" t="str">
        <f t="shared" si="26"/>
        <v>PASS</v>
      </c>
      <c r="K65" s="193" t="str">
        <f t="shared" si="26"/>
        <v>PASS</v>
      </c>
      <c r="L65" s="193" t="str">
        <f t="shared" si="26"/>
        <v>PASS</v>
      </c>
      <c r="M65" s="193" t="str">
        <f t="shared" si="26"/>
        <v>PASS</v>
      </c>
      <c r="N65" s="193" t="str">
        <f t="shared" si="26"/>
        <v>PASS</v>
      </c>
      <c r="O65" s="193" t="str">
        <f t="shared" si="26"/>
        <v>PASS</v>
      </c>
      <c r="P65" s="193" t="str">
        <f t="shared" si="26"/>
        <v>PASS</v>
      </c>
      <c r="Q65" s="193" t="str">
        <f t="shared" si="26"/>
        <v>PASS</v>
      </c>
      <c r="R65" s="193" t="str">
        <f t="shared" si="26"/>
        <v>PASS</v>
      </c>
      <c r="S65" s="193" t="str">
        <f t="shared" si="26"/>
        <v>PASS</v>
      </c>
      <c r="T65" s="193" t="str">
        <f t="shared" si="26"/>
        <v>PASS</v>
      </c>
      <c r="U65" s="193" t="str">
        <f t="shared" si="26"/>
        <v>PASS</v>
      </c>
    </row>
    <row r="66" spans="2:21">
      <c r="B66" s="186" t="s">
        <v>489</v>
      </c>
      <c r="D66" s="252">
        <f t="shared" ref="D66:U66" si="27">(D58+D40)/D59</f>
        <v>-5.7825194437216357E-2</v>
      </c>
      <c r="E66" s="252">
        <f t="shared" si="27"/>
        <v>-1.5420051849924407E-2</v>
      </c>
      <c r="F66" s="252">
        <f t="shared" si="27"/>
        <v>2.4210530387500064E-2</v>
      </c>
      <c r="G66" s="252">
        <f t="shared" si="27"/>
        <v>2.4274600831781799</v>
      </c>
      <c r="H66" s="252">
        <f t="shared" si="27"/>
        <v>2.345859176835928</v>
      </c>
      <c r="I66" s="252">
        <f t="shared" si="27"/>
        <v>2.2675947305362203</v>
      </c>
      <c r="J66" s="252">
        <f t="shared" si="27"/>
        <v>2.192513652919315</v>
      </c>
      <c r="K66" s="252">
        <f t="shared" si="27"/>
        <v>2.1204702550731653</v>
      </c>
      <c r="L66" s="252">
        <f t="shared" si="27"/>
        <v>2.0513258852941019</v>
      </c>
      <c r="M66" s="252">
        <f t="shared" si="27"/>
        <v>1.9849485819873955</v>
      </c>
      <c r="N66" s="252">
        <f t="shared" si="27"/>
        <v>1.6723402654636177</v>
      </c>
      <c r="O66" s="252">
        <f t="shared" si="27"/>
        <v>1.6246414549991974</v>
      </c>
      <c r="P66" s="252">
        <f t="shared" si="27"/>
        <v>1.5757825333667095</v>
      </c>
      <c r="Q66" s="252">
        <f t="shared" si="27"/>
        <v>1.452011931507337</v>
      </c>
      <c r="R66" s="252">
        <f t="shared" si="27"/>
        <v>1.2929199493236918</v>
      </c>
      <c r="S66" s="252">
        <f t="shared" si="27"/>
        <v>1.1643636017812937</v>
      </c>
      <c r="T66" s="252">
        <f t="shared" si="27"/>
        <v>1.1408326673460489</v>
      </c>
      <c r="U66" s="252">
        <f t="shared" si="27"/>
        <v>0.98914255426342934</v>
      </c>
    </row>
    <row r="68" spans="2:21">
      <c r="B68" s="184" t="s">
        <v>490</v>
      </c>
    </row>
  </sheetData>
  <conditionalFormatting sqref="D62:U62">
    <cfRule type="expression" dxfId="7" priority="2">
      <formula>D62&gt;D63</formula>
    </cfRule>
  </conditionalFormatting>
  <conditionalFormatting sqref="D64:U64">
    <cfRule type="cellIs" dxfId="6" priority="5" operator="lessThan">
      <formula>0</formula>
    </cfRule>
  </conditionalFormatting>
  <conditionalFormatting sqref="D65:U65">
    <cfRule type="cellIs" dxfId="5" priority="3" operator="equal">
      <formula>"BREACH"</formula>
    </cfRule>
    <cfRule type="cellIs" dxfId="4" priority="4" operator="equal">
      <formula>"PASS"</formula>
    </cfRule>
  </conditionalFormatting>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B1:AG68"/>
  <sheetViews>
    <sheetView showGridLines="0" topLeftCell="A20" zoomScaleNormal="100" workbookViewId="0">
      <pane xSplit="3" topLeftCell="M47" activePane="topRight" state="frozen"/>
      <selection pane="topRight" activeCell="F34" sqref="F34"/>
    </sheetView>
  </sheetViews>
  <sheetFormatPr defaultColWidth="8.42578125" defaultRowHeight="15"/>
  <cols>
    <col min="1" max="1" width="2" customWidth="1"/>
    <col min="2" max="2" width="58" customWidth="1"/>
    <col min="3" max="3" width="2" customWidth="1"/>
    <col min="4" max="33" width="11" customWidth="1"/>
  </cols>
  <sheetData>
    <row r="1" spans="2:33" ht="18">
      <c r="B1" s="183" t="s">
        <v>492</v>
      </c>
    </row>
    <row r="2" spans="2:33">
      <c r="B2" s="184" t="s">
        <v>449</v>
      </c>
    </row>
    <row r="3" spans="2:33">
      <c r="B3" s="185" t="s">
        <v>450</v>
      </c>
      <c r="C3" s="185"/>
      <c r="D3" s="185"/>
    </row>
    <row r="4" spans="2:33">
      <c r="B4" s="186" t="s">
        <v>451</v>
      </c>
      <c r="D4" s="229">
        <f>'Exhibit 1'!C33*1000</f>
        <v>15000</v>
      </c>
    </row>
    <row r="5" spans="2:33">
      <c r="B5" s="186" t="s">
        <v>452</v>
      </c>
      <c r="D5" s="234">
        <f>'Exhibit 1'!C34</f>
        <v>0.2</v>
      </c>
    </row>
    <row r="6" spans="2:33">
      <c r="B6" s="186" t="s">
        <v>453</v>
      </c>
      <c r="D6" s="239">
        <f>'Exhibit 1'!C35</f>
        <v>8</v>
      </c>
    </row>
    <row r="7" spans="2:33">
      <c r="B7" s="186" t="s">
        <v>454</v>
      </c>
      <c r="D7" s="239">
        <f>'Exhibit 1'!C36</f>
        <v>3.5</v>
      </c>
    </row>
    <row r="8" spans="2:33">
      <c r="B8" s="186" t="s">
        <v>455</v>
      </c>
      <c r="D8" s="239">
        <f>'Exhibit 1'!C38</f>
        <v>4</v>
      </c>
    </row>
    <row r="9" spans="2:33">
      <c r="B9" s="186" t="s">
        <v>456</v>
      </c>
      <c r="D9" s="240">
        <f>'Exhibit 1'!C37</f>
        <v>25</v>
      </c>
    </row>
    <row r="10" spans="2:33">
      <c r="B10" s="186" t="s">
        <v>457</v>
      </c>
      <c r="D10" s="229">
        <f>'Exhibit 1'!C39</f>
        <v>1000</v>
      </c>
    </row>
    <row r="11" spans="2:33">
      <c r="B11" s="186" t="s">
        <v>458</v>
      </c>
      <c r="D11" s="240">
        <f>'Exhibit 1'!C40</f>
        <v>5</v>
      </c>
    </row>
    <row r="12" spans="2:33">
      <c r="B12" s="186" t="s">
        <v>459</v>
      </c>
      <c r="D12" s="240">
        <f>'Exhibit 10'!F5</f>
        <v>8</v>
      </c>
    </row>
    <row r="13" spans="2:33">
      <c r="B13" s="186" t="s">
        <v>408</v>
      </c>
      <c r="D13" s="225">
        <f>'WACC &amp; Inputs'!$C$11</f>
        <v>0.21</v>
      </c>
    </row>
    <row r="14" spans="2:33">
      <c r="B14" s="186" t="s">
        <v>284</v>
      </c>
      <c r="D14" s="235">
        <f>'WACC &amp; Inputs'!G48</f>
        <v>0.10617619492766191</v>
      </c>
    </row>
    <row r="16" spans="2:33">
      <c r="B16" s="185" t="s">
        <v>223</v>
      </c>
      <c r="C16" s="185"/>
      <c r="D16" s="241">
        <v>2027</v>
      </c>
      <c r="E16" s="241">
        <f t="shared" ref="E16:AG16" si="0">D16+1</f>
        <v>2028</v>
      </c>
      <c r="F16" s="241">
        <f t="shared" si="0"/>
        <v>2029</v>
      </c>
      <c r="G16" s="241">
        <f t="shared" si="0"/>
        <v>2030</v>
      </c>
      <c r="H16" s="241">
        <f t="shared" si="0"/>
        <v>2031</v>
      </c>
      <c r="I16" s="241">
        <f t="shared" si="0"/>
        <v>2032</v>
      </c>
      <c r="J16" s="241">
        <f t="shared" si="0"/>
        <v>2033</v>
      </c>
      <c r="K16" s="241">
        <f t="shared" si="0"/>
        <v>2034</v>
      </c>
      <c r="L16" s="241">
        <f t="shared" si="0"/>
        <v>2035</v>
      </c>
      <c r="M16" s="241">
        <f t="shared" si="0"/>
        <v>2036</v>
      </c>
      <c r="N16" s="241">
        <f t="shared" si="0"/>
        <v>2037</v>
      </c>
      <c r="O16" s="241">
        <f t="shared" si="0"/>
        <v>2038</v>
      </c>
      <c r="P16" s="241">
        <f t="shared" si="0"/>
        <v>2039</v>
      </c>
      <c r="Q16" s="241">
        <f t="shared" si="0"/>
        <v>2040</v>
      </c>
      <c r="R16" s="241">
        <f t="shared" si="0"/>
        <v>2041</v>
      </c>
      <c r="S16" s="241">
        <f t="shared" si="0"/>
        <v>2042</v>
      </c>
      <c r="T16" s="241">
        <f t="shared" si="0"/>
        <v>2043</v>
      </c>
      <c r="U16" s="241">
        <f t="shared" si="0"/>
        <v>2044</v>
      </c>
      <c r="V16" s="241">
        <f t="shared" si="0"/>
        <v>2045</v>
      </c>
      <c r="W16" s="241">
        <f t="shared" si="0"/>
        <v>2046</v>
      </c>
      <c r="X16" s="241">
        <f t="shared" si="0"/>
        <v>2047</v>
      </c>
      <c r="Y16" s="241">
        <f t="shared" si="0"/>
        <v>2048</v>
      </c>
      <c r="Z16" s="241">
        <f t="shared" si="0"/>
        <v>2049</v>
      </c>
      <c r="AA16" s="241">
        <f t="shared" si="0"/>
        <v>2050</v>
      </c>
      <c r="AB16" s="241">
        <f t="shared" si="0"/>
        <v>2051</v>
      </c>
      <c r="AC16" s="241">
        <f t="shared" si="0"/>
        <v>2052</v>
      </c>
      <c r="AD16" s="241">
        <f t="shared" si="0"/>
        <v>2053</v>
      </c>
      <c r="AE16" s="241">
        <f t="shared" si="0"/>
        <v>2054</v>
      </c>
      <c r="AF16" s="241">
        <f t="shared" si="0"/>
        <v>2055</v>
      </c>
      <c r="AG16" s="241">
        <f t="shared" si="0"/>
        <v>2056</v>
      </c>
    </row>
    <row r="17" spans="2:33">
      <c r="B17" s="186" t="s">
        <v>460</v>
      </c>
      <c r="D17" s="242">
        <f>'Exhibit 7'!D5</f>
        <v>0</v>
      </c>
      <c r="E17" s="242">
        <f>'Exhibit 7'!E5</f>
        <v>0</v>
      </c>
      <c r="F17" s="242">
        <f>'Exhibit 7'!F5</f>
        <v>0</v>
      </c>
      <c r="G17" s="242">
        <f>'Exhibit 7'!G5</f>
        <v>0</v>
      </c>
      <c r="H17" s="242">
        <f>'Exhibit 7'!H5</f>
        <v>0</v>
      </c>
      <c r="I17" s="242">
        <f>'Exhibit 7'!I5</f>
        <v>300</v>
      </c>
      <c r="J17" s="242">
        <f>'Exhibit 7'!J5</f>
        <v>300</v>
      </c>
      <c r="K17" s="242">
        <f>'Exhibit 7'!K5</f>
        <v>300</v>
      </c>
      <c r="L17" s="242">
        <f>'Exhibit 7'!L5</f>
        <v>300</v>
      </c>
      <c r="M17" s="242">
        <f>'Exhibit 7'!M5</f>
        <v>300</v>
      </c>
      <c r="N17" s="242">
        <f>'Exhibit 7'!N5</f>
        <v>300</v>
      </c>
      <c r="O17" s="242">
        <f>'Exhibit 7'!O5</f>
        <v>300</v>
      </c>
      <c r="P17" s="242">
        <f>'Exhibit 7'!P5</f>
        <v>300</v>
      </c>
      <c r="Q17" s="242">
        <f>'Exhibit 7'!Q5</f>
        <v>300</v>
      </c>
      <c r="R17" s="242">
        <f>'Exhibit 7'!R5</f>
        <v>297</v>
      </c>
      <c r="S17" s="242">
        <f>'Exhibit 7'!S5</f>
        <v>294.02999999999997</v>
      </c>
      <c r="T17" s="242">
        <f>'Exhibit 7'!T5</f>
        <v>291.08969999999999</v>
      </c>
      <c r="U17" s="242">
        <f>'Exhibit 7'!U5</f>
        <v>288.17880300000002</v>
      </c>
      <c r="V17" s="242">
        <f>'Exhibit 7'!V5</f>
        <v>285.29701497000002</v>
      </c>
      <c r="W17" s="242">
        <f>'Exhibit 7'!W5</f>
        <v>282.44404482030001</v>
      </c>
      <c r="X17" s="242">
        <f>'Exhibit 7'!X5</f>
        <v>279.619604372097</v>
      </c>
      <c r="Y17" s="242">
        <f>'Exhibit 7'!Y5</f>
        <v>276.82340832837599</v>
      </c>
      <c r="Z17" s="242">
        <f>'Exhibit 7'!Z5</f>
        <v>274.05517424509202</v>
      </c>
      <c r="AA17" s="242">
        <f>'Exhibit 7'!AA5</f>
        <v>271.31462250264099</v>
      </c>
      <c r="AB17" s="242">
        <f>'Exhibit 7'!AB5</f>
        <v>268.60147627761501</v>
      </c>
      <c r="AC17" s="242">
        <f>'Exhibit 7'!AC5</f>
        <v>265.91546151483902</v>
      </c>
      <c r="AD17" s="242">
        <f>'Exhibit 7'!AD5</f>
        <v>263.25630689969</v>
      </c>
      <c r="AE17" s="242">
        <f>'Exhibit 7'!AE5</f>
        <v>260.62374383069402</v>
      </c>
      <c r="AF17" s="242">
        <f>'Exhibit 7'!AF5</f>
        <v>258.01750639238702</v>
      </c>
      <c r="AG17" s="242">
        <f>'Exhibit 7'!AG5</f>
        <v>255.43733132846299</v>
      </c>
    </row>
    <row r="18" spans="2:33">
      <c r="B18" s="186" t="s">
        <v>461</v>
      </c>
      <c r="D18" s="243">
        <f>D17*1000*'WACC &amp; Inputs'!$C$8/1000000</f>
        <v>0</v>
      </c>
      <c r="E18" s="243">
        <f>E17*1000*'WACC &amp; Inputs'!$C$8/1000000</f>
        <v>0</v>
      </c>
      <c r="F18" s="243">
        <f>F17*1000*'WACC &amp; Inputs'!$C$8/1000000</f>
        <v>0</v>
      </c>
      <c r="G18" s="243">
        <f>G17*1000*'WACC &amp; Inputs'!$C$8/1000000</f>
        <v>0</v>
      </c>
      <c r="H18" s="243">
        <f>H17*1000*'WACC &amp; Inputs'!$C$8/1000000</f>
        <v>0</v>
      </c>
      <c r="I18" s="243">
        <f>I17*1000*'WACC &amp; Inputs'!$C$8/1000000</f>
        <v>109.5</v>
      </c>
      <c r="J18" s="243">
        <f>J17*1000*'WACC &amp; Inputs'!$C$8/1000000</f>
        <v>109.5</v>
      </c>
      <c r="K18" s="243">
        <f>K17*1000*'WACC &amp; Inputs'!$C$8/1000000</f>
        <v>109.5</v>
      </c>
      <c r="L18" s="243">
        <f>L17*1000*'WACC &amp; Inputs'!$C$8/1000000</f>
        <v>109.5</v>
      </c>
      <c r="M18" s="243">
        <f>M17*1000*'WACC &amp; Inputs'!$C$8/1000000</f>
        <v>109.5</v>
      </c>
      <c r="N18" s="243">
        <f>N17*1000*'WACC &amp; Inputs'!$C$8/1000000</f>
        <v>109.5</v>
      </c>
      <c r="O18" s="243">
        <f>O17*1000*'WACC &amp; Inputs'!$C$8/1000000</f>
        <v>109.5</v>
      </c>
      <c r="P18" s="243">
        <f>P17*1000*'WACC &amp; Inputs'!$C$8/1000000</f>
        <v>109.5</v>
      </c>
      <c r="Q18" s="243">
        <f>Q17*1000*'WACC &amp; Inputs'!$C$8/1000000</f>
        <v>109.5</v>
      </c>
      <c r="R18" s="243">
        <f>R17*1000*'WACC &amp; Inputs'!$C$8/1000000</f>
        <v>108.405</v>
      </c>
      <c r="S18" s="243">
        <f>S17*1000*'WACC &amp; Inputs'!$C$8/1000000</f>
        <v>107.32095</v>
      </c>
      <c r="T18" s="243">
        <f>T17*1000*'WACC &amp; Inputs'!$C$8/1000000</f>
        <v>106.24774050000001</v>
      </c>
      <c r="U18" s="243">
        <f>U17*1000*'WACC &amp; Inputs'!$C$8/1000000</f>
        <v>105.185263095</v>
      </c>
      <c r="V18" s="243">
        <f>V17*1000*'WACC &amp; Inputs'!$C$8/1000000</f>
        <v>104.13341046405002</v>
      </c>
      <c r="W18" s="243">
        <f>W17*1000*'WACC &amp; Inputs'!$C$8/1000000</f>
        <v>103.09207635940952</v>
      </c>
      <c r="X18" s="243">
        <f>X17*1000*'WACC &amp; Inputs'!$C$8/1000000</f>
        <v>102.06115559581541</v>
      </c>
      <c r="Y18" s="243">
        <f>Y17*1000*'WACC &amp; Inputs'!$C$8/1000000</f>
        <v>101.04054403985724</v>
      </c>
      <c r="Z18" s="243">
        <f>Z17*1000*'WACC &amp; Inputs'!$C$8/1000000</f>
        <v>100.0301385994586</v>
      </c>
      <c r="AA18" s="243">
        <f>AA17*1000*'WACC &amp; Inputs'!$C$8/1000000</f>
        <v>99.029837213463964</v>
      </c>
      <c r="AB18" s="243">
        <f>AB17*1000*'WACC &amp; Inputs'!$C$8/1000000</f>
        <v>98.039538841329474</v>
      </c>
      <c r="AC18" s="243">
        <f>AC17*1000*'WACC &amp; Inputs'!$C$8/1000000</f>
        <v>97.059143452916246</v>
      </c>
      <c r="AD18" s="243">
        <f>AD17*1000*'WACC &amp; Inputs'!$C$8/1000000</f>
        <v>96.088552018386849</v>
      </c>
      <c r="AE18" s="243">
        <f>AE17*1000*'WACC &amp; Inputs'!$C$8/1000000</f>
        <v>95.127666498203325</v>
      </c>
      <c r="AF18" s="243">
        <f>AF17*1000*'WACC &amp; Inputs'!$C$8/1000000</f>
        <v>94.176389833221265</v>
      </c>
      <c r="AG18" s="243">
        <f>AG17*1000*'WACC &amp; Inputs'!$C$8/1000000</f>
        <v>93.234625934888982</v>
      </c>
    </row>
    <row r="19" spans="2:33">
      <c r="B19" s="186" t="s">
        <v>462</v>
      </c>
      <c r="D19" s="234">
        <f>'Exhibit 8'!E11</f>
        <v>0</v>
      </c>
      <c r="E19" s="234">
        <f>'Exhibit 8'!F11</f>
        <v>0</v>
      </c>
      <c r="F19" s="234">
        <f>'Exhibit 8'!G11</f>
        <v>0</v>
      </c>
      <c r="G19" s="234">
        <f>'Exhibit 8'!H11</f>
        <v>0</v>
      </c>
      <c r="H19" s="234">
        <f>'Exhibit 8'!I11</f>
        <v>0</v>
      </c>
      <c r="I19" s="234">
        <f>'Exhibit 8'!J11</f>
        <v>0.85</v>
      </c>
      <c r="J19" s="234">
        <f>'Exhibit 8'!K11</f>
        <v>0.85</v>
      </c>
      <c r="K19" s="234">
        <f>'Exhibit 8'!L11</f>
        <v>0.85</v>
      </c>
      <c r="L19" s="234">
        <f>'Exhibit 8'!M11</f>
        <v>0.85</v>
      </c>
      <c r="M19" s="234">
        <f>'Exhibit 8'!N11</f>
        <v>0.85</v>
      </c>
      <c r="N19" s="234">
        <f>'Exhibit 8'!O11</f>
        <v>0.85</v>
      </c>
      <c r="O19" s="234">
        <f>'Exhibit 8'!P11</f>
        <v>0.84750000000000003</v>
      </c>
      <c r="P19" s="234">
        <f>'Exhibit 8'!Q11</f>
        <v>0.84499999999999997</v>
      </c>
      <c r="Q19" s="234">
        <f>'Exhibit 8'!R11</f>
        <v>0.84250000000000003</v>
      </c>
      <c r="R19" s="234">
        <f>'Exhibit 8'!S11</f>
        <v>0.84</v>
      </c>
      <c r="S19" s="234">
        <f>'Exhibit 8'!T11</f>
        <v>0.83750000000000002</v>
      </c>
      <c r="T19" s="234">
        <f>'Exhibit 8'!U11</f>
        <v>0.83499999999999996</v>
      </c>
      <c r="U19" s="234">
        <f>'Exhibit 8'!V11</f>
        <v>0.83250000000000002</v>
      </c>
      <c r="V19" s="234">
        <f>'Exhibit 8'!W11</f>
        <v>0.83</v>
      </c>
      <c r="W19" s="234">
        <f>'Exhibit 8'!X11</f>
        <v>0.82750000000000101</v>
      </c>
      <c r="X19" s="234">
        <f>'Exhibit 8'!Y11</f>
        <v>0.82500000000000095</v>
      </c>
      <c r="Y19" s="234">
        <f>'Exhibit 8'!Z11</f>
        <v>0.82250000000000101</v>
      </c>
      <c r="Z19" s="234">
        <f>'Exhibit 8'!AA11</f>
        <v>0.82000000000000095</v>
      </c>
      <c r="AA19" s="234">
        <f>'Exhibit 8'!AB11</f>
        <v>0.817500000000001</v>
      </c>
      <c r="AB19" s="234">
        <f>'Exhibit 8'!AC11</f>
        <v>0.81500000000000095</v>
      </c>
      <c r="AC19" s="234">
        <f>'Exhibit 8'!AD11</f>
        <v>0.812500000000001</v>
      </c>
      <c r="AD19" s="234">
        <f>'Exhibit 8'!AE11</f>
        <v>0.81000000000000105</v>
      </c>
      <c r="AE19" s="234">
        <f>'Exhibit 8'!AF11</f>
        <v>0.80750000000000099</v>
      </c>
      <c r="AF19" s="234">
        <f>'Exhibit 8'!AG11</f>
        <v>0.80500000000000105</v>
      </c>
      <c r="AG19" s="234">
        <f>'Exhibit 8'!AH11</f>
        <v>0.80250000000000099</v>
      </c>
    </row>
    <row r="20" spans="2:33">
      <c r="B20" s="186" t="s">
        <v>463</v>
      </c>
      <c r="D20" s="234">
        <f>'Exhibit 8'!E12</f>
        <v>0</v>
      </c>
      <c r="E20" s="234">
        <f>'Exhibit 8'!F12</f>
        <v>0</v>
      </c>
      <c r="F20" s="234">
        <f>'Exhibit 8'!G12</f>
        <v>0</v>
      </c>
      <c r="G20" s="234">
        <f>'Exhibit 8'!H12</f>
        <v>0</v>
      </c>
      <c r="H20" s="234">
        <f>'Exhibit 8'!I12</f>
        <v>0</v>
      </c>
      <c r="I20" s="234">
        <f>'Exhibit 8'!J12</f>
        <v>0.1</v>
      </c>
      <c r="J20" s="234">
        <f>'Exhibit 8'!K12</f>
        <v>0.1</v>
      </c>
      <c r="K20" s="234">
        <f>'Exhibit 8'!L12</f>
        <v>0.1</v>
      </c>
      <c r="L20" s="234">
        <f>'Exhibit 8'!M12</f>
        <v>0.1</v>
      </c>
      <c r="M20" s="234">
        <f>'Exhibit 8'!N12</f>
        <v>0.1</v>
      </c>
      <c r="N20" s="234">
        <f>'Exhibit 8'!O12</f>
        <v>0.1</v>
      </c>
      <c r="O20" s="234">
        <f>'Exhibit 8'!P12</f>
        <v>0.10100000000000001</v>
      </c>
      <c r="P20" s="234">
        <f>'Exhibit 8'!Q12</f>
        <v>0.10199999999999999</v>
      </c>
      <c r="Q20" s="234">
        <f>'Exhibit 8'!R12</f>
        <v>0.10299999999999999</v>
      </c>
      <c r="R20" s="234">
        <f>'Exhibit 8'!S12</f>
        <v>0.104</v>
      </c>
      <c r="S20" s="234">
        <f>'Exhibit 8'!T12</f>
        <v>0.105</v>
      </c>
      <c r="T20" s="234">
        <f>'Exhibit 8'!U12</f>
        <v>0.106</v>
      </c>
      <c r="U20" s="234">
        <f>'Exhibit 8'!V12</f>
        <v>0.107</v>
      </c>
      <c r="V20" s="234">
        <f>'Exhibit 8'!W12</f>
        <v>0.108</v>
      </c>
      <c r="W20" s="234">
        <f>'Exhibit 8'!X12</f>
        <v>0.109</v>
      </c>
      <c r="X20" s="234">
        <f>'Exhibit 8'!Y12</f>
        <v>0.11</v>
      </c>
      <c r="Y20" s="234">
        <f>'Exhibit 8'!Z12</f>
        <v>0.111</v>
      </c>
      <c r="Z20" s="234">
        <f>'Exhibit 8'!AA12</f>
        <v>0.112</v>
      </c>
      <c r="AA20" s="234">
        <f>'Exhibit 8'!AB12</f>
        <v>0.113</v>
      </c>
      <c r="AB20" s="234">
        <f>'Exhibit 8'!AC12</f>
        <v>0.114</v>
      </c>
      <c r="AC20" s="234">
        <f>'Exhibit 8'!AD12</f>
        <v>0.115</v>
      </c>
      <c r="AD20" s="234">
        <f>'Exhibit 8'!AE12</f>
        <v>0.11600000000000001</v>
      </c>
      <c r="AE20" s="234">
        <f>'Exhibit 8'!AF12</f>
        <v>0.11700000000000001</v>
      </c>
      <c r="AF20" s="234">
        <f>'Exhibit 8'!AG12</f>
        <v>0.11799999999999999</v>
      </c>
      <c r="AG20" s="234">
        <f>'Exhibit 8'!AH12</f>
        <v>0.11899999999999999</v>
      </c>
    </row>
    <row r="21" spans="2:33">
      <c r="B21" s="186" t="s">
        <v>464</v>
      </c>
      <c r="D21" s="234">
        <f>'Exhibit 8'!E13</f>
        <v>0</v>
      </c>
      <c r="E21" s="234">
        <f>'Exhibit 8'!F13</f>
        <v>0</v>
      </c>
      <c r="F21" s="234">
        <f>'Exhibit 8'!G13</f>
        <v>0</v>
      </c>
      <c r="G21" s="234">
        <f>'Exhibit 8'!H13</f>
        <v>0</v>
      </c>
      <c r="H21" s="234">
        <f>'Exhibit 8'!I13</f>
        <v>0</v>
      </c>
      <c r="I21" s="234">
        <f>'Exhibit 8'!J13</f>
        <v>0.05</v>
      </c>
      <c r="J21" s="234">
        <f>'Exhibit 8'!K13</f>
        <v>0.05</v>
      </c>
      <c r="K21" s="234">
        <f>'Exhibit 8'!L13</f>
        <v>0.05</v>
      </c>
      <c r="L21" s="234">
        <f>'Exhibit 8'!M13</f>
        <v>0.05</v>
      </c>
      <c r="M21" s="234">
        <f>'Exhibit 8'!N13</f>
        <v>0.05</v>
      </c>
      <c r="N21" s="234">
        <f>'Exhibit 8'!O13</f>
        <v>0.05</v>
      </c>
      <c r="O21" s="234">
        <f>'Exhibit 8'!P13</f>
        <v>5.1499999999999997E-2</v>
      </c>
      <c r="P21" s="234">
        <f>'Exhibit 8'!Q13</f>
        <v>5.2999999999999901E-2</v>
      </c>
      <c r="Q21" s="234">
        <f>'Exhibit 8'!R13</f>
        <v>5.4499999999999903E-2</v>
      </c>
      <c r="R21" s="234">
        <f>'Exhibit 8'!S13</f>
        <v>5.59999999999998E-2</v>
      </c>
      <c r="S21" s="234">
        <f>'Exhibit 8'!T13</f>
        <v>5.7499999999999801E-2</v>
      </c>
      <c r="T21" s="234">
        <f>'Exhibit 8'!U13</f>
        <v>5.8999999999999699E-2</v>
      </c>
      <c r="U21" s="234">
        <f>'Exhibit 8'!V13</f>
        <v>6.0499999999999603E-2</v>
      </c>
      <c r="V21" s="234">
        <f>'Exhibit 8'!W13</f>
        <v>6.1999999999999597E-2</v>
      </c>
      <c r="W21" s="234">
        <f>'Exhibit 8'!X13</f>
        <v>6.3499999999999501E-2</v>
      </c>
      <c r="X21" s="234">
        <f>'Exhibit 8'!Y13</f>
        <v>6.4999999999999503E-2</v>
      </c>
      <c r="Y21" s="234">
        <f>'Exhibit 8'!Z13</f>
        <v>6.6499999999999407E-2</v>
      </c>
      <c r="Z21" s="234">
        <f>'Exhibit 8'!AA13</f>
        <v>6.7999999999999394E-2</v>
      </c>
      <c r="AA21" s="234">
        <f>'Exhibit 8'!AB13</f>
        <v>6.9499999999999298E-2</v>
      </c>
      <c r="AB21" s="234">
        <f>'Exhibit 8'!AC13</f>
        <v>7.09999999999993E-2</v>
      </c>
      <c r="AC21" s="234">
        <f>'Exhibit 8'!AD13</f>
        <v>7.2499999999999204E-2</v>
      </c>
      <c r="AD21" s="234">
        <f>'Exhibit 8'!AE13</f>
        <v>7.3999999999999205E-2</v>
      </c>
      <c r="AE21" s="234">
        <f>'Exhibit 8'!AF13</f>
        <v>7.5499999999999096E-2</v>
      </c>
      <c r="AF21" s="234">
        <f>'Exhibit 8'!AG13</f>
        <v>7.6999999999999E-2</v>
      </c>
      <c r="AG21" s="234">
        <f>'Exhibit 8'!AH13</f>
        <v>7.8499999999999001E-2</v>
      </c>
    </row>
    <row r="22" spans="2:33">
      <c r="B22" s="186" t="s">
        <v>465</v>
      </c>
      <c r="D22" s="239">
        <f>'Exhibit 9'!F8</f>
        <v>86.92</v>
      </c>
      <c r="E22" s="239">
        <f>'Exhibit 9'!G8</f>
        <v>77.63</v>
      </c>
      <c r="F22" s="239">
        <f>'Exhibit 9'!H8</f>
        <v>74.37</v>
      </c>
      <c r="G22" s="239">
        <f>'Exhibit 9'!I8</f>
        <v>74.37</v>
      </c>
      <c r="H22" s="239">
        <f>'Exhibit 9'!J8</f>
        <v>74.37</v>
      </c>
      <c r="I22" s="239">
        <f>'Exhibit 9'!K8</f>
        <v>74.37</v>
      </c>
      <c r="J22" s="239">
        <f>'Exhibit 9'!L8</f>
        <v>74.37</v>
      </c>
      <c r="K22" s="239">
        <f>'Exhibit 9'!M8</f>
        <v>74.37</v>
      </c>
      <c r="L22" s="239">
        <f>'Exhibit 9'!N8</f>
        <v>74.37</v>
      </c>
      <c r="M22" s="239">
        <f>'Exhibit 9'!O8</f>
        <v>74.37</v>
      </c>
      <c r="N22" s="239">
        <f>'Exhibit 9'!P8</f>
        <v>74.37</v>
      </c>
      <c r="O22" s="239">
        <f>'Exhibit 9'!Q8</f>
        <v>74.37</v>
      </c>
      <c r="P22" s="239">
        <f>'Exhibit 9'!R8</f>
        <v>74.37</v>
      </c>
      <c r="Q22" s="239">
        <f>'Exhibit 9'!S8</f>
        <v>74.37</v>
      </c>
      <c r="R22" s="239">
        <f>'Exhibit 9'!T8</f>
        <v>74.37</v>
      </c>
      <c r="S22" s="239">
        <f>'Exhibit 9'!U8</f>
        <v>74.37</v>
      </c>
      <c r="T22" s="239">
        <f>'Exhibit 9'!V8</f>
        <v>74.37</v>
      </c>
      <c r="U22" s="239">
        <f>'Exhibit 9'!W8</f>
        <v>74.37</v>
      </c>
      <c r="V22" s="239">
        <f>'Exhibit 9'!X8</f>
        <v>74.37</v>
      </c>
      <c r="W22" s="239">
        <f>'Exhibit 9'!Y8</f>
        <v>74.37</v>
      </c>
      <c r="X22" s="239">
        <f>'Exhibit 9'!Z8</f>
        <v>74.37</v>
      </c>
      <c r="Y22" s="239">
        <f>'Exhibit 9'!AA8</f>
        <v>74.37</v>
      </c>
      <c r="Z22" s="239">
        <f>'Exhibit 9'!AB8</f>
        <v>74.37</v>
      </c>
      <c r="AA22" s="239">
        <f>'Exhibit 9'!AC8</f>
        <v>74.37</v>
      </c>
      <c r="AB22" s="239">
        <f>'Exhibit 9'!AD8</f>
        <v>74.37</v>
      </c>
      <c r="AC22" s="239">
        <f>'Exhibit 9'!AE8</f>
        <v>74.37</v>
      </c>
      <c r="AD22" s="239">
        <f>'Exhibit 9'!AF8</f>
        <v>74.37</v>
      </c>
      <c r="AE22" s="239">
        <f>'Exhibit 9'!AG8</f>
        <v>74.37</v>
      </c>
      <c r="AF22" s="239">
        <f>'Exhibit 9'!AH8</f>
        <v>74.37</v>
      </c>
      <c r="AG22" s="239">
        <f>'Exhibit 9'!AI8</f>
        <v>74.37</v>
      </c>
    </row>
    <row r="23" spans="2:33">
      <c r="B23" s="186" t="s">
        <v>466</v>
      </c>
      <c r="D23" s="239">
        <f>'Exhibit 9'!F6</f>
        <v>3.06</v>
      </c>
      <c r="E23" s="239">
        <f>'Exhibit 9'!G6</f>
        <v>3.38</v>
      </c>
      <c r="F23" s="239">
        <f>'Exhibit 9'!H6</f>
        <v>3.38</v>
      </c>
      <c r="G23" s="239">
        <f>'Exhibit 9'!I6</f>
        <v>3.38</v>
      </c>
      <c r="H23" s="239">
        <f>'Exhibit 9'!J6</f>
        <v>3.38</v>
      </c>
      <c r="I23" s="239">
        <f>'Exhibit 9'!K6</f>
        <v>3.38</v>
      </c>
      <c r="J23" s="239">
        <f>'Exhibit 9'!L6</f>
        <v>3.38</v>
      </c>
      <c r="K23" s="239">
        <f>'Exhibit 9'!M6</f>
        <v>3.38</v>
      </c>
      <c r="L23" s="239">
        <f>'Exhibit 9'!N6</f>
        <v>3.38</v>
      </c>
      <c r="M23" s="239">
        <f>'Exhibit 9'!O6</f>
        <v>3.38</v>
      </c>
      <c r="N23" s="239">
        <f>'Exhibit 9'!P6</f>
        <v>3.38</v>
      </c>
      <c r="O23" s="239">
        <f>'Exhibit 9'!Q6</f>
        <v>3.38</v>
      </c>
      <c r="P23" s="239">
        <f>'Exhibit 9'!R6</f>
        <v>3.38</v>
      </c>
      <c r="Q23" s="239">
        <f>'Exhibit 9'!S6</f>
        <v>3.38</v>
      </c>
      <c r="R23" s="239">
        <f>'Exhibit 9'!T6</f>
        <v>3.38</v>
      </c>
      <c r="S23" s="239">
        <f>'Exhibit 9'!U6</f>
        <v>3.38</v>
      </c>
      <c r="T23" s="239">
        <f>'Exhibit 9'!V6</f>
        <v>3.38</v>
      </c>
      <c r="U23" s="239">
        <f>'Exhibit 9'!W6</f>
        <v>3.38</v>
      </c>
      <c r="V23" s="239">
        <f>'Exhibit 9'!X6</f>
        <v>3.38</v>
      </c>
      <c r="W23" s="239">
        <f>'Exhibit 9'!Y6</f>
        <v>3.38</v>
      </c>
      <c r="X23" s="239">
        <f>'Exhibit 9'!Z6</f>
        <v>3.38</v>
      </c>
      <c r="Y23" s="239">
        <f>'Exhibit 9'!AA6</f>
        <v>3.38</v>
      </c>
      <c r="Z23" s="239">
        <f>'Exhibit 9'!AB6</f>
        <v>3.38</v>
      </c>
      <c r="AA23" s="239">
        <f>'Exhibit 9'!AC6</f>
        <v>3.38</v>
      </c>
      <c r="AB23" s="239">
        <f>'Exhibit 9'!AD6</f>
        <v>3.38</v>
      </c>
      <c r="AC23" s="239">
        <f>'Exhibit 9'!AE6</f>
        <v>3.38</v>
      </c>
      <c r="AD23" s="239">
        <f>'Exhibit 9'!AF6</f>
        <v>3.38</v>
      </c>
      <c r="AE23" s="239">
        <f>'Exhibit 9'!AG6</f>
        <v>3.38</v>
      </c>
      <c r="AF23" s="239">
        <f>'Exhibit 9'!AH6</f>
        <v>3.38</v>
      </c>
      <c r="AG23" s="239">
        <f>'Exhibit 9'!AI6</f>
        <v>3.38</v>
      </c>
    </row>
    <row r="24" spans="2:33">
      <c r="B24" s="186" t="s">
        <v>467</v>
      </c>
      <c r="D24" s="239">
        <f>'Exhibit 9'!F7</f>
        <v>28.34</v>
      </c>
      <c r="E24" s="239">
        <f>'Exhibit 9'!G7</f>
        <v>25.33</v>
      </c>
      <c r="F24" s="239">
        <f>'Exhibit 9'!H7</f>
        <v>24.31</v>
      </c>
      <c r="G24" s="239">
        <f>'Exhibit 9'!I7</f>
        <v>24.31</v>
      </c>
      <c r="H24" s="239">
        <f>'Exhibit 9'!J7</f>
        <v>24.31</v>
      </c>
      <c r="I24" s="239">
        <f>'Exhibit 9'!K7</f>
        <v>24.31</v>
      </c>
      <c r="J24" s="239">
        <f>'Exhibit 9'!L7</f>
        <v>24.31</v>
      </c>
      <c r="K24" s="239">
        <f>'Exhibit 9'!M7</f>
        <v>24.31</v>
      </c>
      <c r="L24" s="239">
        <f>'Exhibit 9'!N7</f>
        <v>24.31</v>
      </c>
      <c r="M24" s="239">
        <f>'Exhibit 9'!O7</f>
        <v>24.31</v>
      </c>
      <c r="N24" s="239">
        <f>'Exhibit 9'!P7</f>
        <v>24.31</v>
      </c>
      <c r="O24" s="239">
        <f>'Exhibit 9'!Q7</f>
        <v>24.31</v>
      </c>
      <c r="P24" s="239">
        <f>'Exhibit 9'!R7</f>
        <v>24.31</v>
      </c>
      <c r="Q24" s="239">
        <f>'Exhibit 9'!S7</f>
        <v>24.31</v>
      </c>
      <c r="R24" s="239">
        <f>'Exhibit 9'!T7</f>
        <v>24.31</v>
      </c>
      <c r="S24" s="239">
        <f>'Exhibit 9'!U7</f>
        <v>24.31</v>
      </c>
      <c r="T24" s="239">
        <f>'Exhibit 9'!V7</f>
        <v>24.31</v>
      </c>
      <c r="U24" s="239">
        <f>'Exhibit 9'!W7</f>
        <v>24.31</v>
      </c>
      <c r="V24" s="239">
        <f>'Exhibit 9'!X7</f>
        <v>24.31</v>
      </c>
      <c r="W24" s="239">
        <f>'Exhibit 9'!Y7</f>
        <v>24.31</v>
      </c>
      <c r="X24" s="239">
        <f>'Exhibit 9'!Z7</f>
        <v>24.31</v>
      </c>
      <c r="Y24" s="239">
        <f>'Exhibit 9'!AA7</f>
        <v>24.31</v>
      </c>
      <c r="Z24" s="239">
        <f>'Exhibit 9'!AB7</f>
        <v>24.31</v>
      </c>
      <c r="AA24" s="239">
        <f>'Exhibit 9'!AC7</f>
        <v>24.31</v>
      </c>
      <c r="AB24" s="239">
        <f>'Exhibit 9'!AD7</f>
        <v>24.31</v>
      </c>
      <c r="AC24" s="239">
        <f>'Exhibit 9'!AE7</f>
        <v>24.31</v>
      </c>
      <c r="AD24" s="239">
        <f>'Exhibit 9'!AF7</f>
        <v>24.31</v>
      </c>
      <c r="AE24" s="239">
        <f>'Exhibit 9'!AG7</f>
        <v>24.31</v>
      </c>
      <c r="AF24" s="239">
        <f>'Exhibit 9'!AH7</f>
        <v>24.31</v>
      </c>
      <c r="AG24" s="239">
        <f>'Exhibit 9'!AI7</f>
        <v>24.31</v>
      </c>
    </row>
    <row r="25" spans="2:33">
      <c r="B25" s="186" t="s">
        <v>468</v>
      </c>
      <c r="D25" s="244">
        <f>D23*'WACC &amp; Inputs'!$C$6*'WACC &amp; Inputs'!$C$7</f>
        <v>18.874079999999999</v>
      </c>
      <c r="E25" s="244">
        <f>E23*'WACC &amp; Inputs'!$C$6*'WACC &amp; Inputs'!$C$7</f>
        <v>20.847840000000001</v>
      </c>
      <c r="F25" s="244">
        <f>F23*'WACC &amp; Inputs'!$C$6*'WACC &amp; Inputs'!$C$7</f>
        <v>20.847840000000001</v>
      </c>
      <c r="G25" s="244">
        <f>G23*'WACC &amp; Inputs'!$C$6*'WACC &amp; Inputs'!$C$7</f>
        <v>20.847840000000001</v>
      </c>
      <c r="H25" s="244">
        <f>H23*'WACC &amp; Inputs'!$C$6*'WACC &amp; Inputs'!$C$7</f>
        <v>20.847840000000001</v>
      </c>
      <c r="I25" s="244">
        <f>I23*'WACC &amp; Inputs'!$C$6*'WACC &amp; Inputs'!$C$7</f>
        <v>20.847840000000001</v>
      </c>
      <c r="J25" s="244">
        <f>J23*'WACC &amp; Inputs'!$C$6*'WACC &amp; Inputs'!$C$7</f>
        <v>20.847840000000001</v>
      </c>
      <c r="K25" s="244">
        <f>K23*'WACC &amp; Inputs'!$C$6*'WACC &amp; Inputs'!$C$7</f>
        <v>20.847840000000001</v>
      </c>
      <c r="L25" s="244">
        <f>L23*'WACC &amp; Inputs'!$C$6*'WACC &amp; Inputs'!$C$7</f>
        <v>20.847840000000001</v>
      </c>
      <c r="M25" s="244">
        <f>M23*'WACC &amp; Inputs'!$C$6*'WACC &amp; Inputs'!$C$7</f>
        <v>20.847840000000001</v>
      </c>
      <c r="N25" s="244">
        <f>N23*'WACC &amp; Inputs'!$C$6*'WACC &amp; Inputs'!$C$7</f>
        <v>20.847840000000001</v>
      </c>
      <c r="O25" s="244">
        <f>O23*'WACC &amp; Inputs'!$C$6*'WACC &amp; Inputs'!$C$7</f>
        <v>20.847840000000001</v>
      </c>
      <c r="P25" s="244">
        <f>P23*'WACC &amp; Inputs'!$C$6*'WACC &amp; Inputs'!$C$7</f>
        <v>20.847840000000001</v>
      </c>
      <c r="Q25" s="244">
        <f>Q23*'WACC &amp; Inputs'!$C$6*'WACC &amp; Inputs'!$C$7</f>
        <v>20.847840000000001</v>
      </c>
      <c r="R25" s="244">
        <f>R23*'WACC &amp; Inputs'!$C$6*'WACC &amp; Inputs'!$C$7</f>
        <v>20.847840000000001</v>
      </c>
      <c r="S25" s="244">
        <f>S23*'WACC &amp; Inputs'!$C$6*'WACC &amp; Inputs'!$C$7</f>
        <v>20.847840000000001</v>
      </c>
      <c r="T25" s="244">
        <f>T23*'WACC &amp; Inputs'!$C$6*'WACC &amp; Inputs'!$C$7</f>
        <v>20.847840000000001</v>
      </c>
      <c r="U25" s="244">
        <f>U23*'WACC &amp; Inputs'!$C$6*'WACC &amp; Inputs'!$C$7</f>
        <v>20.847840000000001</v>
      </c>
      <c r="V25" s="244">
        <f>V23*'WACC &amp; Inputs'!$C$6*'WACC &amp; Inputs'!$C$7</f>
        <v>20.847840000000001</v>
      </c>
      <c r="W25" s="244">
        <f>W23*'WACC &amp; Inputs'!$C$6*'WACC &amp; Inputs'!$C$7</f>
        <v>20.847840000000001</v>
      </c>
      <c r="X25" s="244">
        <f>X23*'WACC &amp; Inputs'!$C$6*'WACC &amp; Inputs'!$C$7</f>
        <v>20.847840000000001</v>
      </c>
      <c r="Y25" s="244">
        <f>Y23*'WACC &amp; Inputs'!$C$6*'WACC &amp; Inputs'!$C$7</f>
        <v>20.847840000000001</v>
      </c>
      <c r="Z25" s="244">
        <f>Z23*'WACC &amp; Inputs'!$C$6*'WACC &amp; Inputs'!$C$7</f>
        <v>20.847840000000001</v>
      </c>
      <c r="AA25" s="244">
        <f>AA23*'WACC &amp; Inputs'!$C$6*'WACC &amp; Inputs'!$C$7</f>
        <v>20.847840000000001</v>
      </c>
      <c r="AB25" s="244">
        <f>AB23*'WACC &amp; Inputs'!$C$6*'WACC &amp; Inputs'!$C$7</f>
        <v>20.847840000000001</v>
      </c>
      <c r="AC25" s="244">
        <f>AC23*'WACC &amp; Inputs'!$C$6*'WACC &amp; Inputs'!$C$7</f>
        <v>20.847840000000001</v>
      </c>
      <c r="AD25" s="244">
        <f>AD23*'WACC &amp; Inputs'!$C$6*'WACC &amp; Inputs'!$C$7</f>
        <v>20.847840000000001</v>
      </c>
      <c r="AE25" s="244">
        <f>AE23*'WACC &amp; Inputs'!$C$6*'WACC &amp; Inputs'!$C$7</f>
        <v>20.847840000000001</v>
      </c>
      <c r="AF25" s="244">
        <f>AF23*'WACC &amp; Inputs'!$C$6*'WACC &amp; Inputs'!$C$7</f>
        <v>20.847840000000001</v>
      </c>
      <c r="AG25" s="244">
        <f>AG23*'WACC &amp; Inputs'!$C$6*'WACC &amp; Inputs'!$C$7</f>
        <v>20.847840000000001</v>
      </c>
    </row>
    <row r="26" spans="2:33">
      <c r="B26" s="186" t="s">
        <v>265</v>
      </c>
      <c r="D26" s="245">
        <f t="shared" ref="D26:AG26" si="1">D18*D19*D22</f>
        <v>0</v>
      </c>
      <c r="E26" s="245">
        <f t="shared" si="1"/>
        <v>0</v>
      </c>
      <c r="F26" s="245">
        <f t="shared" si="1"/>
        <v>0</v>
      </c>
      <c r="G26" s="245">
        <f t="shared" si="1"/>
        <v>0</v>
      </c>
      <c r="H26" s="245">
        <f t="shared" si="1"/>
        <v>0</v>
      </c>
      <c r="I26" s="245">
        <f t="shared" si="1"/>
        <v>6921.9877500000002</v>
      </c>
      <c r="J26" s="245">
        <f t="shared" si="1"/>
        <v>6921.9877500000002</v>
      </c>
      <c r="K26" s="245">
        <f t="shared" si="1"/>
        <v>6921.9877500000002</v>
      </c>
      <c r="L26" s="245">
        <f t="shared" si="1"/>
        <v>6921.9877500000002</v>
      </c>
      <c r="M26" s="245">
        <f t="shared" si="1"/>
        <v>6921.9877500000002</v>
      </c>
      <c r="N26" s="245">
        <f t="shared" si="1"/>
        <v>6921.9877500000002</v>
      </c>
      <c r="O26" s="245">
        <f t="shared" si="1"/>
        <v>6901.6289625000009</v>
      </c>
      <c r="P26" s="245">
        <f t="shared" si="1"/>
        <v>6881.2701750000006</v>
      </c>
      <c r="Q26" s="245">
        <f t="shared" si="1"/>
        <v>6860.9113875000003</v>
      </c>
      <c r="R26" s="245">
        <f t="shared" si="1"/>
        <v>6772.1470740000004</v>
      </c>
      <c r="S26" s="245">
        <f t="shared" si="1"/>
        <v>6684.4719556312502</v>
      </c>
      <c r="T26" s="245">
        <f t="shared" si="1"/>
        <v>6597.8731249224757</v>
      </c>
      <c r="U26" s="245">
        <f t="shared" si="1"/>
        <v>6512.3378236323133</v>
      </c>
      <c r="V26" s="245">
        <f t="shared" si="1"/>
        <v>6427.8534410554621</v>
      </c>
      <c r="W26" s="245">
        <f t="shared" si="1"/>
        <v>6344.4075123477924</v>
      </c>
      <c r="X26" s="245">
        <f t="shared" si="1"/>
        <v>6261.9877168701605</v>
      </c>
      <c r="Y26" s="245">
        <f t="shared" si="1"/>
        <v>6180.5818765508484</v>
      </c>
      <c r="Z26" s="245">
        <f t="shared" si="1"/>
        <v>6100.1779542662307</v>
      </c>
      <c r="AA26" s="245">
        <f t="shared" si="1"/>
        <v>6020.7640522396523</v>
      </c>
      <c r="AB26" s="245">
        <f t="shared" si="1"/>
        <v>5942.3284104581908</v>
      </c>
      <c r="AC26" s="245">
        <f t="shared" si="1"/>
        <v>5864.8594051071295</v>
      </c>
      <c r="AD26" s="245">
        <f t="shared" si="1"/>
        <v>5788.3455470220269</v>
      </c>
      <c r="AE26" s="245">
        <f t="shared" si="1"/>
        <v>5712.7754801581486</v>
      </c>
      <c r="AF26" s="245">
        <f t="shared" si="1"/>
        <v>5638.1379800768236</v>
      </c>
      <c r="AG26" s="245">
        <f t="shared" si="1"/>
        <v>5564.4219524491054</v>
      </c>
    </row>
    <row r="27" spans="2:33">
      <c r="B27" s="186" t="s">
        <v>266</v>
      </c>
      <c r="D27" s="245">
        <f t="shared" ref="D27:AG27" si="2">D18*D20*D25</f>
        <v>0</v>
      </c>
      <c r="E27" s="245">
        <f t="shared" si="2"/>
        <v>0</v>
      </c>
      <c r="F27" s="245">
        <f t="shared" si="2"/>
        <v>0</v>
      </c>
      <c r="G27" s="245">
        <f t="shared" si="2"/>
        <v>0</v>
      </c>
      <c r="H27" s="245">
        <f t="shared" si="2"/>
        <v>0</v>
      </c>
      <c r="I27" s="245">
        <f t="shared" si="2"/>
        <v>228.28384800000003</v>
      </c>
      <c r="J27" s="245">
        <f t="shared" si="2"/>
        <v>228.28384800000003</v>
      </c>
      <c r="K27" s="245">
        <f t="shared" si="2"/>
        <v>228.28384800000003</v>
      </c>
      <c r="L27" s="245">
        <f t="shared" si="2"/>
        <v>228.28384800000003</v>
      </c>
      <c r="M27" s="245">
        <f t="shared" si="2"/>
        <v>228.28384800000003</v>
      </c>
      <c r="N27" s="245">
        <f t="shared" si="2"/>
        <v>228.28384800000003</v>
      </c>
      <c r="O27" s="245">
        <f t="shared" si="2"/>
        <v>230.56668648000002</v>
      </c>
      <c r="P27" s="245">
        <f t="shared" si="2"/>
        <v>232.84952496</v>
      </c>
      <c r="Q27" s="245">
        <f t="shared" si="2"/>
        <v>235.13236344000001</v>
      </c>
      <c r="R27" s="245">
        <f t="shared" si="2"/>
        <v>235.0410499008</v>
      </c>
      <c r="S27" s="245">
        <f t="shared" si="2"/>
        <v>234.92804939604002</v>
      </c>
      <c r="T27" s="245">
        <f t="shared" si="2"/>
        <v>234.79380479638516</v>
      </c>
      <c r="U27" s="245">
        <f t="shared" si="2"/>
        <v>234.63875228378373</v>
      </c>
      <c r="V27" s="245">
        <f t="shared" si="2"/>
        <v>234.46332144095476</v>
      </c>
      <c r="W27" s="245">
        <f t="shared" si="2"/>
        <v>234.26793533975399</v>
      </c>
      <c r="X27" s="245">
        <f t="shared" si="2"/>
        <v>234.0530106284331</v>
      </c>
      <c r="Y27" s="245">
        <f t="shared" si="2"/>
        <v>233.81895761780461</v>
      </c>
      <c r="Z27" s="245">
        <f t="shared" si="2"/>
        <v>233.56618036632574</v>
      </c>
      <c r="AA27" s="245">
        <f t="shared" si="2"/>
        <v>233.29507676411473</v>
      </c>
      <c r="AB27" s="245">
        <f t="shared" si="2"/>
        <v>233.00603861591179</v>
      </c>
      <c r="AC27" s="245">
        <f t="shared" si="2"/>
        <v>232.69945172299626</v>
      </c>
      <c r="AD27" s="245">
        <f t="shared" si="2"/>
        <v>232.37569596407675</v>
      </c>
      <c r="AE27" s="245">
        <f t="shared" si="2"/>
        <v>232.03514537516472</v>
      </c>
      <c r="AF27" s="245">
        <f t="shared" si="2"/>
        <v>231.67816822843358</v>
      </c>
      <c r="AG27" s="245">
        <f t="shared" si="2"/>
        <v>231.30512711009951</v>
      </c>
    </row>
    <row r="28" spans="2:33">
      <c r="B28" s="186" t="s">
        <v>267</v>
      </c>
      <c r="D28" s="245">
        <f t="shared" ref="D28:AG28" si="3">D18*D21*D24</f>
        <v>0</v>
      </c>
      <c r="E28" s="245">
        <f t="shared" si="3"/>
        <v>0</v>
      </c>
      <c r="F28" s="245">
        <f t="shared" si="3"/>
        <v>0</v>
      </c>
      <c r="G28" s="245">
        <f t="shared" si="3"/>
        <v>0</v>
      </c>
      <c r="H28" s="245">
        <f t="shared" si="3"/>
        <v>0</v>
      </c>
      <c r="I28" s="245">
        <f t="shared" si="3"/>
        <v>133.09725</v>
      </c>
      <c r="J28" s="245">
        <f t="shared" si="3"/>
        <v>133.09725</v>
      </c>
      <c r="K28" s="245">
        <f t="shared" si="3"/>
        <v>133.09725</v>
      </c>
      <c r="L28" s="245">
        <f t="shared" si="3"/>
        <v>133.09725</v>
      </c>
      <c r="M28" s="245">
        <f t="shared" si="3"/>
        <v>133.09725</v>
      </c>
      <c r="N28" s="245">
        <f t="shared" si="3"/>
        <v>133.09725</v>
      </c>
      <c r="O28" s="245">
        <f t="shared" si="3"/>
        <v>137.09016749999998</v>
      </c>
      <c r="P28" s="245">
        <f t="shared" si="3"/>
        <v>141.08308499999973</v>
      </c>
      <c r="Q28" s="245">
        <f t="shared" si="3"/>
        <v>145.07600249999973</v>
      </c>
      <c r="R28" s="245">
        <f t="shared" si="3"/>
        <v>147.57823079999946</v>
      </c>
      <c r="S28" s="245">
        <f t="shared" si="3"/>
        <v>150.01590693374945</v>
      </c>
      <c r="T28" s="245">
        <f t="shared" si="3"/>
        <v>152.39007172174422</v>
      </c>
      <c r="U28" s="245">
        <f t="shared" si="3"/>
        <v>154.7017516232857</v>
      </c>
      <c r="V28" s="245">
        <f t="shared" si="3"/>
        <v>156.95195891962442</v>
      </c>
      <c r="W28" s="245">
        <f t="shared" si="3"/>
        <v>159.14169189487382</v>
      </c>
      <c r="X28" s="245">
        <f t="shared" si="3"/>
        <v>161.27193501472649</v>
      </c>
      <c r="Y28" s="245">
        <f t="shared" si="3"/>
        <v>163.34365910299235</v>
      </c>
      <c r="Z28" s="245">
        <f t="shared" si="3"/>
        <v>165.35782151599153</v>
      </c>
      <c r="AA28" s="245">
        <f t="shared" si="3"/>
        <v>167.31536631482027</v>
      </c>
      <c r="AB28" s="245">
        <f t="shared" si="3"/>
        <v>169.21722443552139</v>
      </c>
      <c r="AC28" s="245">
        <f t="shared" si="3"/>
        <v>171.06431385717667</v>
      </c>
      <c r="AD28" s="245">
        <f t="shared" si="3"/>
        <v>172.85753976795496</v>
      </c>
      <c r="AE28" s="245">
        <f t="shared" si="3"/>
        <v>174.59779472913277</v>
      </c>
      <c r="AF28" s="245">
        <f t="shared" si="3"/>
        <v>176.2859588371096</v>
      </c>
      <c r="AG28" s="245">
        <f t="shared" si="3"/>
        <v>177.92289988345411</v>
      </c>
    </row>
    <row r="29" spans="2:33">
      <c r="B29" s="190" t="s">
        <v>268</v>
      </c>
      <c r="D29" s="246">
        <f t="shared" ref="D29:AG29" si="4">SUM(D26:D28)</f>
        <v>0</v>
      </c>
      <c r="E29" s="246">
        <f t="shared" si="4"/>
        <v>0</v>
      </c>
      <c r="F29" s="246">
        <f t="shared" si="4"/>
        <v>0</v>
      </c>
      <c r="G29" s="246">
        <f t="shared" si="4"/>
        <v>0</v>
      </c>
      <c r="H29" s="246">
        <f t="shared" si="4"/>
        <v>0</v>
      </c>
      <c r="I29" s="246">
        <f t="shared" si="4"/>
        <v>7283.3688480000001</v>
      </c>
      <c r="J29" s="246">
        <f t="shared" si="4"/>
        <v>7283.3688480000001</v>
      </c>
      <c r="K29" s="246">
        <f t="shared" si="4"/>
        <v>7283.3688480000001</v>
      </c>
      <c r="L29" s="246">
        <f t="shared" si="4"/>
        <v>7283.3688480000001</v>
      </c>
      <c r="M29" s="246">
        <f t="shared" si="4"/>
        <v>7283.3688480000001</v>
      </c>
      <c r="N29" s="246">
        <f t="shared" si="4"/>
        <v>7283.3688480000001</v>
      </c>
      <c r="O29" s="246">
        <f t="shared" si="4"/>
        <v>7269.28581648</v>
      </c>
      <c r="P29" s="246">
        <f t="shared" si="4"/>
        <v>7255.2027849599999</v>
      </c>
      <c r="Q29" s="246">
        <f t="shared" si="4"/>
        <v>7241.1197534399998</v>
      </c>
      <c r="R29" s="246">
        <f t="shared" si="4"/>
        <v>7154.7663547008005</v>
      </c>
      <c r="S29" s="246">
        <f t="shared" si="4"/>
        <v>7069.4159119610395</v>
      </c>
      <c r="T29" s="246">
        <f t="shared" si="4"/>
        <v>6985.0570014406048</v>
      </c>
      <c r="U29" s="246">
        <f t="shared" si="4"/>
        <v>6901.6783275393827</v>
      </c>
      <c r="V29" s="246">
        <f t="shared" si="4"/>
        <v>6819.2687214160414</v>
      </c>
      <c r="W29" s="246">
        <f t="shared" si="4"/>
        <v>6737.8171395824202</v>
      </c>
      <c r="X29" s="246">
        <f t="shared" si="4"/>
        <v>6657.31266251332</v>
      </c>
      <c r="Y29" s="246">
        <f t="shared" si="4"/>
        <v>6577.7444932716453</v>
      </c>
      <c r="Z29" s="246">
        <f t="shared" si="4"/>
        <v>6499.1019561485482</v>
      </c>
      <c r="AA29" s="246">
        <f t="shared" si="4"/>
        <v>6421.3744953185878</v>
      </c>
      <c r="AB29" s="246">
        <f t="shared" si="4"/>
        <v>6344.5516735096244</v>
      </c>
      <c r="AC29" s="246">
        <f t="shared" si="4"/>
        <v>6268.6231706873023</v>
      </c>
      <c r="AD29" s="246">
        <f t="shared" si="4"/>
        <v>6193.5787827540589</v>
      </c>
      <c r="AE29" s="246">
        <f t="shared" si="4"/>
        <v>6119.4084202624463</v>
      </c>
      <c r="AF29" s="246">
        <f t="shared" si="4"/>
        <v>6046.1021071423665</v>
      </c>
      <c r="AG29" s="246">
        <f t="shared" si="4"/>
        <v>5973.6499794426591</v>
      </c>
    </row>
    <row r="30" spans="2:33">
      <c r="B30" s="186" t="s">
        <v>469</v>
      </c>
      <c r="D30" s="245">
        <f t="shared" ref="D30:AG30" si="5">-D29*$D$5</f>
        <v>0</v>
      </c>
      <c r="E30" s="245">
        <f t="shared" si="5"/>
        <v>0</v>
      </c>
      <c r="F30" s="245">
        <f t="shared" si="5"/>
        <v>0</v>
      </c>
      <c r="G30" s="245">
        <f t="shared" si="5"/>
        <v>0</v>
      </c>
      <c r="H30" s="245">
        <f t="shared" si="5"/>
        <v>0</v>
      </c>
      <c r="I30" s="245">
        <f t="shared" si="5"/>
        <v>-1456.6737696</v>
      </c>
      <c r="J30" s="245">
        <f t="shared" si="5"/>
        <v>-1456.6737696</v>
      </c>
      <c r="K30" s="245">
        <f t="shared" si="5"/>
        <v>-1456.6737696</v>
      </c>
      <c r="L30" s="245">
        <f t="shared" si="5"/>
        <v>-1456.6737696</v>
      </c>
      <c r="M30" s="245">
        <f t="shared" si="5"/>
        <v>-1456.6737696</v>
      </c>
      <c r="N30" s="245">
        <f t="shared" si="5"/>
        <v>-1456.6737696</v>
      </c>
      <c r="O30" s="245">
        <f t="shared" si="5"/>
        <v>-1453.8571632960002</v>
      </c>
      <c r="P30" s="245">
        <f t="shared" si="5"/>
        <v>-1451.0405569920001</v>
      </c>
      <c r="Q30" s="245">
        <f t="shared" si="5"/>
        <v>-1448.2239506880001</v>
      </c>
      <c r="R30" s="245">
        <f t="shared" si="5"/>
        <v>-1430.9532709401601</v>
      </c>
      <c r="S30" s="245">
        <f t="shared" si="5"/>
        <v>-1413.883182392208</v>
      </c>
      <c r="T30" s="245">
        <f t="shared" si="5"/>
        <v>-1397.011400288121</v>
      </c>
      <c r="U30" s="245">
        <f t="shared" si="5"/>
        <v>-1380.3356655078767</v>
      </c>
      <c r="V30" s="245">
        <f t="shared" si="5"/>
        <v>-1363.8537442832085</v>
      </c>
      <c r="W30" s="245">
        <f t="shared" si="5"/>
        <v>-1347.5634279164842</v>
      </c>
      <c r="X30" s="245">
        <f t="shared" si="5"/>
        <v>-1331.4625325026641</v>
      </c>
      <c r="Y30" s="245">
        <f t="shared" si="5"/>
        <v>-1315.5488986543292</v>
      </c>
      <c r="Z30" s="245">
        <f t="shared" si="5"/>
        <v>-1299.8203912297097</v>
      </c>
      <c r="AA30" s="245">
        <f t="shared" si="5"/>
        <v>-1284.2748990637176</v>
      </c>
      <c r="AB30" s="245">
        <f t="shared" si="5"/>
        <v>-1268.910334701925</v>
      </c>
      <c r="AC30" s="245">
        <f t="shared" si="5"/>
        <v>-1253.7246341374605</v>
      </c>
      <c r="AD30" s="245">
        <f t="shared" si="5"/>
        <v>-1238.7157565508119</v>
      </c>
      <c r="AE30" s="245">
        <f t="shared" si="5"/>
        <v>-1223.8816840524894</v>
      </c>
      <c r="AF30" s="245">
        <f t="shared" si="5"/>
        <v>-1209.2204214284734</v>
      </c>
      <c r="AG30" s="245">
        <f t="shared" si="5"/>
        <v>-1194.7299958885319</v>
      </c>
    </row>
    <row r="31" spans="2:33">
      <c r="B31" s="186" t="s">
        <v>470</v>
      </c>
      <c r="D31" s="245">
        <f t="shared" ref="D31:AG31" si="6">-D18*$D$6</f>
        <v>0</v>
      </c>
      <c r="E31" s="245">
        <f t="shared" si="6"/>
        <v>0</v>
      </c>
      <c r="F31" s="245">
        <f t="shared" si="6"/>
        <v>0</v>
      </c>
      <c r="G31" s="245">
        <f t="shared" si="6"/>
        <v>0</v>
      </c>
      <c r="H31" s="245">
        <f t="shared" si="6"/>
        <v>0</v>
      </c>
      <c r="I31" s="245">
        <f t="shared" si="6"/>
        <v>-876</v>
      </c>
      <c r="J31" s="245">
        <f t="shared" si="6"/>
        <v>-876</v>
      </c>
      <c r="K31" s="245">
        <f t="shared" si="6"/>
        <v>-876</v>
      </c>
      <c r="L31" s="245">
        <f t="shared" si="6"/>
        <v>-876</v>
      </c>
      <c r="M31" s="245">
        <f t="shared" si="6"/>
        <v>-876</v>
      </c>
      <c r="N31" s="245">
        <f t="shared" si="6"/>
        <v>-876</v>
      </c>
      <c r="O31" s="245">
        <f t="shared" si="6"/>
        <v>-876</v>
      </c>
      <c r="P31" s="245">
        <f t="shared" si="6"/>
        <v>-876</v>
      </c>
      <c r="Q31" s="245">
        <f t="shared" si="6"/>
        <v>-876</v>
      </c>
      <c r="R31" s="245">
        <f t="shared" si="6"/>
        <v>-867.24</v>
      </c>
      <c r="S31" s="245">
        <f t="shared" si="6"/>
        <v>-858.56759999999997</v>
      </c>
      <c r="T31" s="245">
        <f t="shared" si="6"/>
        <v>-849.98192400000005</v>
      </c>
      <c r="U31" s="245">
        <f t="shared" si="6"/>
        <v>-841.48210475999997</v>
      </c>
      <c r="V31" s="245">
        <f t="shared" si="6"/>
        <v>-833.06728371240013</v>
      </c>
      <c r="W31" s="245">
        <f t="shared" si="6"/>
        <v>-824.73661087527614</v>
      </c>
      <c r="X31" s="245">
        <f t="shared" si="6"/>
        <v>-816.48924476652326</v>
      </c>
      <c r="Y31" s="245">
        <f t="shared" si="6"/>
        <v>-808.3243523188579</v>
      </c>
      <c r="Z31" s="245">
        <f t="shared" si="6"/>
        <v>-800.24110879566877</v>
      </c>
      <c r="AA31" s="245">
        <f t="shared" si="6"/>
        <v>-792.23869770771171</v>
      </c>
      <c r="AB31" s="245">
        <f t="shared" si="6"/>
        <v>-784.31631073063579</v>
      </c>
      <c r="AC31" s="245">
        <f t="shared" si="6"/>
        <v>-776.47314762332996</v>
      </c>
      <c r="AD31" s="245">
        <f t="shared" si="6"/>
        <v>-768.70841614709479</v>
      </c>
      <c r="AE31" s="245">
        <f t="shared" si="6"/>
        <v>-761.0213319856266</v>
      </c>
      <c r="AF31" s="245">
        <f t="shared" si="6"/>
        <v>-753.41111866577012</v>
      </c>
      <c r="AG31" s="245">
        <f t="shared" si="6"/>
        <v>-745.87700747911185</v>
      </c>
    </row>
    <row r="32" spans="2:33">
      <c r="B32" s="186" t="s">
        <v>471</v>
      </c>
      <c r="D32" s="245">
        <f t="shared" ref="D32:AG32" si="7">-D18*$D$7</f>
        <v>0</v>
      </c>
      <c r="E32" s="245">
        <f t="shared" si="7"/>
        <v>0</v>
      </c>
      <c r="F32" s="245">
        <f t="shared" si="7"/>
        <v>0</v>
      </c>
      <c r="G32" s="245">
        <f t="shared" si="7"/>
        <v>0</v>
      </c>
      <c r="H32" s="245">
        <f t="shared" si="7"/>
        <v>0</v>
      </c>
      <c r="I32" s="245">
        <f t="shared" si="7"/>
        <v>-383.25</v>
      </c>
      <c r="J32" s="245">
        <f t="shared" si="7"/>
        <v>-383.25</v>
      </c>
      <c r="K32" s="245">
        <f t="shared" si="7"/>
        <v>-383.25</v>
      </c>
      <c r="L32" s="245">
        <f t="shared" si="7"/>
        <v>-383.25</v>
      </c>
      <c r="M32" s="245">
        <f t="shared" si="7"/>
        <v>-383.25</v>
      </c>
      <c r="N32" s="245">
        <f t="shared" si="7"/>
        <v>-383.25</v>
      </c>
      <c r="O32" s="245">
        <f t="shared" si="7"/>
        <v>-383.25</v>
      </c>
      <c r="P32" s="245">
        <f t="shared" si="7"/>
        <v>-383.25</v>
      </c>
      <c r="Q32" s="245">
        <f t="shared" si="7"/>
        <v>-383.25</v>
      </c>
      <c r="R32" s="245">
        <f t="shared" si="7"/>
        <v>-379.41750000000002</v>
      </c>
      <c r="S32" s="245">
        <f t="shared" si="7"/>
        <v>-375.62332499999997</v>
      </c>
      <c r="T32" s="245">
        <f t="shared" si="7"/>
        <v>-371.86709175000004</v>
      </c>
      <c r="U32" s="245">
        <f t="shared" si="7"/>
        <v>-368.14842083249999</v>
      </c>
      <c r="V32" s="245">
        <f t="shared" si="7"/>
        <v>-364.46693662417505</v>
      </c>
      <c r="W32" s="245">
        <f t="shared" si="7"/>
        <v>-360.82226725793333</v>
      </c>
      <c r="X32" s="245">
        <f t="shared" si="7"/>
        <v>-357.21404458535392</v>
      </c>
      <c r="Y32" s="245">
        <f t="shared" si="7"/>
        <v>-353.64190413950035</v>
      </c>
      <c r="Z32" s="245">
        <f t="shared" si="7"/>
        <v>-350.10548509810508</v>
      </c>
      <c r="AA32" s="245">
        <f t="shared" si="7"/>
        <v>-346.6044302471239</v>
      </c>
      <c r="AB32" s="245">
        <f t="shared" si="7"/>
        <v>-343.13838594465318</v>
      </c>
      <c r="AC32" s="245">
        <f t="shared" si="7"/>
        <v>-339.70700208520685</v>
      </c>
      <c r="AD32" s="245">
        <f t="shared" si="7"/>
        <v>-336.30993206435397</v>
      </c>
      <c r="AE32" s="245">
        <f t="shared" si="7"/>
        <v>-332.94683274371164</v>
      </c>
      <c r="AF32" s="245">
        <f t="shared" si="7"/>
        <v>-329.61736441627443</v>
      </c>
      <c r="AG32" s="245">
        <f t="shared" si="7"/>
        <v>-326.32119077211144</v>
      </c>
    </row>
    <row r="33" spans="2:33">
      <c r="B33" s="186" t="s">
        <v>472</v>
      </c>
      <c r="D33" s="245">
        <f t="shared" ref="D33:AG33" si="8">-D18*$D$8</f>
        <v>0</v>
      </c>
      <c r="E33" s="245">
        <f t="shared" si="8"/>
        <v>0</v>
      </c>
      <c r="F33" s="245">
        <f t="shared" si="8"/>
        <v>0</v>
      </c>
      <c r="G33" s="245">
        <f t="shared" si="8"/>
        <v>0</v>
      </c>
      <c r="H33" s="245">
        <f t="shared" si="8"/>
        <v>0</v>
      </c>
      <c r="I33" s="245">
        <f t="shared" si="8"/>
        <v>-438</v>
      </c>
      <c r="J33" s="245">
        <f t="shared" si="8"/>
        <v>-438</v>
      </c>
      <c r="K33" s="245">
        <f t="shared" si="8"/>
        <v>-438</v>
      </c>
      <c r="L33" s="245">
        <f t="shared" si="8"/>
        <v>-438</v>
      </c>
      <c r="M33" s="245">
        <f t="shared" si="8"/>
        <v>-438</v>
      </c>
      <c r="N33" s="245">
        <f t="shared" si="8"/>
        <v>-438</v>
      </c>
      <c r="O33" s="245">
        <f t="shared" si="8"/>
        <v>-438</v>
      </c>
      <c r="P33" s="245">
        <f t="shared" si="8"/>
        <v>-438</v>
      </c>
      <c r="Q33" s="245">
        <f t="shared" si="8"/>
        <v>-438</v>
      </c>
      <c r="R33" s="245">
        <f t="shared" si="8"/>
        <v>-433.62</v>
      </c>
      <c r="S33" s="245">
        <f t="shared" si="8"/>
        <v>-429.28379999999999</v>
      </c>
      <c r="T33" s="245">
        <f t="shared" si="8"/>
        <v>-424.99096200000002</v>
      </c>
      <c r="U33" s="245">
        <f t="shared" si="8"/>
        <v>-420.74105237999999</v>
      </c>
      <c r="V33" s="245">
        <f t="shared" si="8"/>
        <v>-416.53364185620006</v>
      </c>
      <c r="W33" s="245">
        <f t="shared" si="8"/>
        <v>-412.36830543763807</v>
      </c>
      <c r="X33" s="245">
        <f t="shared" si="8"/>
        <v>-408.24462238326163</v>
      </c>
      <c r="Y33" s="245">
        <f t="shared" si="8"/>
        <v>-404.16217615942895</v>
      </c>
      <c r="Z33" s="245">
        <f t="shared" si="8"/>
        <v>-400.12055439783438</v>
      </c>
      <c r="AA33" s="245">
        <f t="shared" si="8"/>
        <v>-396.11934885385585</v>
      </c>
      <c r="AB33" s="245">
        <f t="shared" si="8"/>
        <v>-392.1581553653179</v>
      </c>
      <c r="AC33" s="245">
        <f t="shared" si="8"/>
        <v>-388.23657381166498</v>
      </c>
      <c r="AD33" s="245">
        <f t="shared" si="8"/>
        <v>-384.3542080735474</v>
      </c>
      <c r="AE33" s="245">
        <f t="shared" si="8"/>
        <v>-380.5106659928133</v>
      </c>
      <c r="AF33" s="245">
        <f t="shared" si="8"/>
        <v>-376.70555933288506</v>
      </c>
      <c r="AG33" s="245">
        <f t="shared" si="8"/>
        <v>-372.93850373955593</v>
      </c>
    </row>
    <row r="34" spans="2:33">
      <c r="B34" s="190" t="s">
        <v>473</v>
      </c>
      <c r="D34" s="246">
        <f t="shared" ref="D34:AG34" si="9">SUM(D29:D33)</f>
        <v>0</v>
      </c>
      <c r="E34" s="246">
        <f t="shared" si="9"/>
        <v>0</v>
      </c>
      <c r="F34" s="246">
        <f t="shared" si="9"/>
        <v>0</v>
      </c>
      <c r="G34" s="246">
        <f t="shared" si="9"/>
        <v>0</v>
      </c>
      <c r="H34" s="246">
        <f t="shared" si="9"/>
        <v>0</v>
      </c>
      <c r="I34" s="246">
        <f t="shared" si="9"/>
        <v>4129.4450784000001</v>
      </c>
      <c r="J34" s="246">
        <f t="shared" si="9"/>
        <v>4129.4450784000001</v>
      </c>
      <c r="K34" s="246">
        <f t="shared" si="9"/>
        <v>4129.4450784000001</v>
      </c>
      <c r="L34" s="246">
        <f t="shared" si="9"/>
        <v>4129.4450784000001</v>
      </c>
      <c r="M34" s="246">
        <f t="shared" si="9"/>
        <v>4129.4450784000001</v>
      </c>
      <c r="N34" s="246">
        <f t="shared" si="9"/>
        <v>4129.4450784000001</v>
      </c>
      <c r="O34" s="246">
        <f t="shared" si="9"/>
        <v>4118.1786531839998</v>
      </c>
      <c r="P34" s="246">
        <f t="shared" si="9"/>
        <v>4106.9122279679996</v>
      </c>
      <c r="Q34" s="246">
        <f t="shared" si="9"/>
        <v>4095.6458027520002</v>
      </c>
      <c r="R34" s="246">
        <f t="shared" si="9"/>
        <v>4043.5355837606412</v>
      </c>
      <c r="S34" s="246">
        <f t="shared" si="9"/>
        <v>3992.0580045688312</v>
      </c>
      <c r="T34" s="246">
        <f t="shared" si="9"/>
        <v>3941.205623402484</v>
      </c>
      <c r="U34" s="246">
        <f t="shared" si="9"/>
        <v>3890.971084059006</v>
      </c>
      <c r="V34" s="246">
        <f t="shared" si="9"/>
        <v>3841.3471149400575</v>
      </c>
      <c r="W34" s="246">
        <f t="shared" si="9"/>
        <v>3792.3265280950891</v>
      </c>
      <c r="X34" s="246">
        <f t="shared" si="9"/>
        <v>3743.9022182755175</v>
      </c>
      <c r="Y34" s="246">
        <f t="shared" si="9"/>
        <v>3696.0671619995301</v>
      </c>
      <c r="Z34" s="246">
        <f t="shared" si="9"/>
        <v>3648.8144166272305</v>
      </c>
      <c r="AA34" s="246">
        <f t="shared" si="9"/>
        <v>3602.137119446179</v>
      </c>
      <c r="AB34" s="246">
        <f t="shared" si="9"/>
        <v>3556.0284867670935</v>
      </c>
      <c r="AC34" s="246">
        <f t="shared" si="9"/>
        <v>3510.4818130296399</v>
      </c>
      <c r="AD34" s="246">
        <f t="shared" si="9"/>
        <v>3465.4904699182512</v>
      </c>
      <c r="AE34" s="246">
        <f t="shared" si="9"/>
        <v>3421.0479054878051</v>
      </c>
      <c r="AF34" s="246">
        <f t="shared" si="9"/>
        <v>3377.1476432989639</v>
      </c>
      <c r="AG34" s="246">
        <f t="shared" si="9"/>
        <v>3333.7832815633483</v>
      </c>
    </row>
    <row r="35" spans="2:33">
      <c r="B35" s="186" t="s">
        <v>474</v>
      </c>
      <c r="D35" s="245">
        <f t="shared" ref="D35:AG35" si="10">-IF(D17&gt;0,$D$4/$D$9,0)</f>
        <v>0</v>
      </c>
      <c r="E35" s="245">
        <f t="shared" si="10"/>
        <v>0</v>
      </c>
      <c r="F35" s="245">
        <f t="shared" si="10"/>
        <v>0</v>
      </c>
      <c r="G35" s="245">
        <f t="shared" si="10"/>
        <v>0</v>
      </c>
      <c r="H35" s="245">
        <f t="shared" si="10"/>
        <v>0</v>
      </c>
      <c r="I35" s="245">
        <f>-IF(I17&gt;0,$D$4/$D$9,0)</f>
        <v>-600</v>
      </c>
      <c r="J35" s="245">
        <f t="shared" si="10"/>
        <v>-600</v>
      </c>
      <c r="K35" s="245">
        <f t="shared" si="10"/>
        <v>-600</v>
      </c>
      <c r="L35" s="245">
        <f t="shared" si="10"/>
        <v>-600</v>
      </c>
      <c r="M35" s="245">
        <f t="shared" si="10"/>
        <v>-600</v>
      </c>
      <c r="N35" s="245">
        <f t="shared" si="10"/>
        <v>-600</v>
      </c>
      <c r="O35" s="245">
        <f t="shared" si="10"/>
        <v>-600</v>
      </c>
      <c r="P35" s="245">
        <f t="shared" si="10"/>
        <v>-600</v>
      </c>
      <c r="Q35" s="245">
        <f t="shared" si="10"/>
        <v>-600</v>
      </c>
      <c r="R35" s="245">
        <f t="shared" si="10"/>
        <v>-600</v>
      </c>
      <c r="S35" s="245">
        <f t="shared" si="10"/>
        <v>-600</v>
      </c>
      <c r="T35" s="245">
        <f t="shared" si="10"/>
        <v>-600</v>
      </c>
      <c r="U35" s="245">
        <f t="shared" si="10"/>
        <v>-600</v>
      </c>
      <c r="V35" s="245">
        <f t="shared" si="10"/>
        <v>-600</v>
      </c>
      <c r="W35" s="245">
        <f t="shared" si="10"/>
        <v>-600</v>
      </c>
      <c r="X35" s="245">
        <f t="shared" si="10"/>
        <v>-600</v>
      </c>
      <c r="Y35" s="245">
        <f t="shared" si="10"/>
        <v>-600</v>
      </c>
      <c r="Z35" s="245">
        <f t="shared" si="10"/>
        <v>-600</v>
      </c>
      <c r="AA35" s="245">
        <f t="shared" si="10"/>
        <v>-600</v>
      </c>
      <c r="AB35" s="245">
        <f t="shared" si="10"/>
        <v>-600</v>
      </c>
      <c r="AC35" s="245">
        <f t="shared" si="10"/>
        <v>-600</v>
      </c>
      <c r="AD35" s="245">
        <f t="shared" si="10"/>
        <v>-600</v>
      </c>
      <c r="AE35" s="245">
        <f t="shared" si="10"/>
        <v>-600</v>
      </c>
      <c r="AF35" s="245">
        <f t="shared" si="10"/>
        <v>-600</v>
      </c>
      <c r="AG35" s="245">
        <f t="shared" si="10"/>
        <v>-600</v>
      </c>
    </row>
    <row r="36" spans="2:33">
      <c r="B36" s="186" t="s">
        <v>475</v>
      </c>
      <c r="D36" s="245">
        <f t="shared" ref="D36:AG36" si="11">D34+D35</f>
        <v>0</v>
      </c>
      <c r="E36" s="245">
        <f t="shared" si="11"/>
        <v>0</v>
      </c>
      <c r="F36" s="245">
        <f t="shared" si="11"/>
        <v>0</v>
      </c>
      <c r="G36" s="245">
        <f t="shared" si="11"/>
        <v>0</v>
      </c>
      <c r="H36" s="245">
        <f t="shared" si="11"/>
        <v>0</v>
      </c>
      <c r="I36" s="245">
        <f t="shared" si="11"/>
        <v>3529.4450784000001</v>
      </c>
      <c r="J36" s="245">
        <f t="shared" si="11"/>
        <v>3529.4450784000001</v>
      </c>
      <c r="K36" s="245">
        <f t="shared" si="11"/>
        <v>3529.4450784000001</v>
      </c>
      <c r="L36" s="245">
        <f t="shared" si="11"/>
        <v>3529.4450784000001</v>
      </c>
      <c r="M36" s="245">
        <f t="shared" si="11"/>
        <v>3529.4450784000001</v>
      </c>
      <c r="N36" s="245">
        <f t="shared" si="11"/>
        <v>3529.4450784000001</v>
      </c>
      <c r="O36" s="245">
        <f t="shared" si="11"/>
        <v>3518.1786531839998</v>
      </c>
      <c r="P36" s="245">
        <f t="shared" si="11"/>
        <v>3506.9122279679996</v>
      </c>
      <c r="Q36" s="245">
        <f t="shared" si="11"/>
        <v>3495.6458027520002</v>
      </c>
      <c r="R36" s="245">
        <f t="shared" si="11"/>
        <v>3443.5355837606412</v>
      </c>
      <c r="S36" s="245">
        <f t="shared" si="11"/>
        <v>3392.0580045688312</v>
      </c>
      <c r="T36" s="245">
        <f t="shared" si="11"/>
        <v>3341.205623402484</v>
      </c>
      <c r="U36" s="245">
        <f t="shared" si="11"/>
        <v>3290.971084059006</v>
      </c>
      <c r="V36" s="245">
        <f t="shared" si="11"/>
        <v>3241.3471149400575</v>
      </c>
      <c r="W36" s="245">
        <f t="shared" si="11"/>
        <v>3192.3265280950891</v>
      </c>
      <c r="X36" s="245">
        <f t="shared" si="11"/>
        <v>3143.9022182755175</v>
      </c>
      <c r="Y36" s="245">
        <f t="shared" si="11"/>
        <v>3096.0671619995301</v>
      </c>
      <c r="Z36" s="245">
        <f t="shared" si="11"/>
        <v>3048.8144166272305</v>
      </c>
      <c r="AA36" s="245">
        <f t="shared" si="11"/>
        <v>3002.137119446179</v>
      </c>
      <c r="AB36" s="245">
        <f t="shared" si="11"/>
        <v>2956.0284867670935</v>
      </c>
      <c r="AC36" s="245">
        <f t="shared" si="11"/>
        <v>2910.4818130296399</v>
      </c>
      <c r="AD36" s="245">
        <f t="shared" si="11"/>
        <v>2865.4904699182512</v>
      </c>
      <c r="AE36" s="245">
        <f t="shared" si="11"/>
        <v>2821.0479054878051</v>
      </c>
      <c r="AF36" s="245">
        <f t="shared" si="11"/>
        <v>2777.1476432989639</v>
      </c>
      <c r="AG36" s="245">
        <f t="shared" si="11"/>
        <v>2733.7832815633483</v>
      </c>
    </row>
    <row r="37" spans="2:33">
      <c r="B37" s="186" t="s">
        <v>476</v>
      </c>
      <c r="D37" s="245">
        <f t="shared" ref="D37:AG37" si="12">-$D$13*D36</f>
        <v>0</v>
      </c>
      <c r="E37" s="245">
        <f t="shared" si="12"/>
        <v>0</v>
      </c>
      <c r="F37" s="245">
        <f t="shared" si="12"/>
        <v>0</v>
      </c>
      <c r="G37" s="245">
        <f t="shared" si="12"/>
        <v>0</v>
      </c>
      <c r="H37" s="245">
        <f t="shared" si="12"/>
        <v>0</v>
      </c>
      <c r="I37" s="245">
        <f t="shared" si="12"/>
        <v>-741.18346646399993</v>
      </c>
      <c r="J37" s="245">
        <f t="shared" si="12"/>
        <v>-741.18346646399993</v>
      </c>
      <c r="K37" s="245">
        <f t="shared" si="12"/>
        <v>-741.18346646399993</v>
      </c>
      <c r="L37" s="245">
        <f t="shared" si="12"/>
        <v>-741.18346646399993</v>
      </c>
      <c r="M37" s="245">
        <f t="shared" si="12"/>
        <v>-741.18346646399993</v>
      </c>
      <c r="N37" s="245">
        <f t="shared" si="12"/>
        <v>-741.18346646399993</v>
      </c>
      <c r="O37" s="245">
        <f t="shared" si="12"/>
        <v>-738.81751716863994</v>
      </c>
      <c r="P37" s="245">
        <f t="shared" si="12"/>
        <v>-736.45156787327983</v>
      </c>
      <c r="Q37" s="245">
        <f t="shared" si="12"/>
        <v>-734.08561857792006</v>
      </c>
      <c r="R37" s="245">
        <f t="shared" si="12"/>
        <v>-723.14247258973467</v>
      </c>
      <c r="S37" s="245">
        <f t="shared" si="12"/>
        <v>-712.33218095945449</v>
      </c>
      <c r="T37" s="245">
        <f t="shared" si="12"/>
        <v>-701.65318091452161</v>
      </c>
      <c r="U37" s="245">
        <f t="shared" si="12"/>
        <v>-691.10392765239123</v>
      </c>
      <c r="V37" s="245">
        <f t="shared" si="12"/>
        <v>-680.68289413741206</v>
      </c>
      <c r="W37" s="245">
        <f t="shared" si="12"/>
        <v>-670.38857089996873</v>
      </c>
      <c r="X37" s="245">
        <f t="shared" si="12"/>
        <v>-660.21946583785871</v>
      </c>
      <c r="Y37" s="245">
        <f t="shared" si="12"/>
        <v>-650.17410401990128</v>
      </c>
      <c r="Z37" s="245">
        <f t="shared" si="12"/>
        <v>-640.25102749171833</v>
      </c>
      <c r="AA37" s="245">
        <f t="shared" si="12"/>
        <v>-630.44879508369752</v>
      </c>
      <c r="AB37" s="245">
        <f t="shared" si="12"/>
        <v>-620.76598222108964</v>
      </c>
      <c r="AC37" s="245">
        <f t="shared" si="12"/>
        <v>-611.20118073622439</v>
      </c>
      <c r="AD37" s="245">
        <f t="shared" si="12"/>
        <v>-601.75299868283275</v>
      </c>
      <c r="AE37" s="245">
        <f t="shared" si="12"/>
        <v>-592.42006015243908</v>
      </c>
      <c r="AF37" s="245">
        <f t="shared" si="12"/>
        <v>-583.20100509278234</v>
      </c>
      <c r="AG37" s="245">
        <f t="shared" si="12"/>
        <v>-574.09448912830317</v>
      </c>
    </row>
    <row r="38" spans="2:33">
      <c r="B38" s="186" t="s">
        <v>477</v>
      </c>
      <c r="D38" s="245">
        <f t="shared" ref="D38:AG38" si="13">-IF(D$16&lt;2027+$D$11,$D$4/$D$11,0)</f>
        <v>-3000</v>
      </c>
      <c r="E38" s="245">
        <f t="shared" si="13"/>
        <v>-3000</v>
      </c>
      <c r="F38" s="245">
        <f t="shared" si="13"/>
        <v>-3000</v>
      </c>
      <c r="G38" s="245">
        <f t="shared" si="13"/>
        <v>-3000</v>
      </c>
      <c r="H38" s="245">
        <f t="shared" si="13"/>
        <v>-3000</v>
      </c>
      <c r="I38" s="245">
        <f t="shared" si="13"/>
        <v>0</v>
      </c>
      <c r="J38" s="245">
        <f t="shared" si="13"/>
        <v>0</v>
      </c>
      <c r="K38" s="245">
        <f t="shared" si="13"/>
        <v>0</v>
      </c>
      <c r="L38" s="245">
        <f t="shared" si="13"/>
        <v>0</v>
      </c>
      <c r="M38" s="245">
        <f t="shared" si="13"/>
        <v>0</v>
      </c>
      <c r="N38" s="245">
        <f t="shared" si="13"/>
        <v>0</v>
      </c>
      <c r="O38" s="245">
        <f t="shared" si="13"/>
        <v>0</v>
      </c>
      <c r="P38" s="245">
        <f t="shared" si="13"/>
        <v>0</v>
      </c>
      <c r="Q38" s="245">
        <f t="shared" si="13"/>
        <v>0</v>
      </c>
      <c r="R38" s="245">
        <f t="shared" si="13"/>
        <v>0</v>
      </c>
      <c r="S38" s="245">
        <f t="shared" si="13"/>
        <v>0</v>
      </c>
      <c r="T38" s="245">
        <f t="shared" si="13"/>
        <v>0</v>
      </c>
      <c r="U38" s="245">
        <f t="shared" si="13"/>
        <v>0</v>
      </c>
      <c r="V38" s="245">
        <f t="shared" si="13"/>
        <v>0</v>
      </c>
      <c r="W38" s="245">
        <f t="shared" si="13"/>
        <v>0</v>
      </c>
      <c r="X38" s="245">
        <f t="shared" si="13"/>
        <v>0</v>
      </c>
      <c r="Y38" s="245">
        <f t="shared" si="13"/>
        <v>0</v>
      </c>
      <c r="Z38" s="245">
        <f t="shared" si="13"/>
        <v>0</v>
      </c>
      <c r="AA38" s="245">
        <f t="shared" si="13"/>
        <v>0</v>
      </c>
      <c r="AB38" s="245">
        <f t="shared" si="13"/>
        <v>0</v>
      </c>
      <c r="AC38" s="245">
        <f t="shared" si="13"/>
        <v>0</v>
      </c>
      <c r="AD38" s="245">
        <f t="shared" si="13"/>
        <v>0</v>
      </c>
      <c r="AE38" s="245">
        <f t="shared" si="13"/>
        <v>0</v>
      </c>
      <c r="AF38" s="245">
        <f t="shared" si="13"/>
        <v>0</v>
      </c>
      <c r="AG38" s="245">
        <f t="shared" si="13"/>
        <v>0</v>
      </c>
    </row>
    <row r="39" spans="2:33">
      <c r="B39" s="186" t="s">
        <v>478</v>
      </c>
      <c r="D39" s="245">
        <f t="shared" ref="D39:AG39" si="14">-IF(D$16=2027+$D$11+$D$9-1,$D$10,0)</f>
        <v>0</v>
      </c>
      <c r="E39" s="245">
        <f t="shared" si="14"/>
        <v>0</v>
      </c>
      <c r="F39" s="245">
        <f t="shared" si="14"/>
        <v>0</v>
      </c>
      <c r="G39" s="245">
        <f t="shared" si="14"/>
        <v>0</v>
      </c>
      <c r="H39" s="245">
        <f t="shared" si="14"/>
        <v>0</v>
      </c>
      <c r="I39" s="245">
        <f t="shared" si="14"/>
        <v>0</v>
      </c>
      <c r="J39" s="245">
        <f t="shared" si="14"/>
        <v>0</v>
      </c>
      <c r="K39" s="245">
        <f t="shared" si="14"/>
        <v>0</v>
      </c>
      <c r="L39" s="245">
        <f t="shared" si="14"/>
        <v>0</v>
      </c>
      <c r="M39" s="245">
        <f t="shared" si="14"/>
        <v>0</v>
      </c>
      <c r="N39" s="245">
        <f t="shared" si="14"/>
        <v>0</v>
      </c>
      <c r="O39" s="245">
        <f t="shared" si="14"/>
        <v>0</v>
      </c>
      <c r="P39" s="245">
        <f t="shared" si="14"/>
        <v>0</v>
      </c>
      <c r="Q39" s="245">
        <f t="shared" si="14"/>
        <v>0</v>
      </c>
      <c r="R39" s="245">
        <f t="shared" si="14"/>
        <v>0</v>
      </c>
      <c r="S39" s="245">
        <f t="shared" si="14"/>
        <v>0</v>
      </c>
      <c r="T39" s="245">
        <f t="shared" si="14"/>
        <v>0</v>
      </c>
      <c r="U39" s="245">
        <f t="shared" si="14"/>
        <v>0</v>
      </c>
      <c r="V39" s="245">
        <f t="shared" si="14"/>
        <v>0</v>
      </c>
      <c r="W39" s="245">
        <f t="shared" si="14"/>
        <v>0</v>
      </c>
      <c r="X39" s="245">
        <f t="shared" si="14"/>
        <v>0</v>
      </c>
      <c r="Y39" s="245">
        <f t="shared" si="14"/>
        <v>0</v>
      </c>
      <c r="Z39" s="245">
        <f t="shared" si="14"/>
        <v>0</v>
      </c>
      <c r="AA39" s="245">
        <f t="shared" si="14"/>
        <v>0</v>
      </c>
      <c r="AB39" s="245">
        <f t="shared" si="14"/>
        <v>0</v>
      </c>
      <c r="AC39" s="245">
        <f t="shared" si="14"/>
        <v>0</v>
      </c>
      <c r="AD39" s="245">
        <f t="shared" si="14"/>
        <v>0</v>
      </c>
      <c r="AE39" s="245">
        <f t="shared" si="14"/>
        <v>0</v>
      </c>
      <c r="AF39" s="245">
        <f t="shared" si="14"/>
        <v>0</v>
      </c>
      <c r="AG39" s="245">
        <f t="shared" si="14"/>
        <v>-1000</v>
      </c>
    </row>
    <row r="40" spans="2:33">
      <c r="B40" s="190" t="s">
        <v>479</v>
      </c>
      <c r="D40" s="246">
        <f t="shared" ref="D40:AG40" si="15">D34+D37+D38+D39</f>
        <v>-3000</v>
      </c>
      <c r="E40" s="246">
        <f t="shared" si="15"/>
        <v>-3000</v>
      </c>
      <c r="F40" s="246">
        <f t="shared" si="15"/>
        <v>-3000</v>
      </c>
      <c r="G40" s="246">
        <f t="shared" si="15"/>
        <v>-3000</v>
      </c>
      <c r="H40" s="246">
        <f t="shared" si="15"/>
        <v>-3000</v>
      </c>
      <c r="I40" s="246">
        <f t="shared" si="15"/>
        <v>3388.261611936</v>
      </c>
      <c r="J40" s="246">
        <f t="shared" si="15"/>
        <v>3388.261611936</v>
      </c>
      <c r="K40" s="246">
        <f t="shared" si="15"/>
        <v>3388.261611936</v>
      </c>
      <c r="L40" s="246">
        <f t="shared" si="15"/>
        <v>3388.261611936</v>
      </c>
      <c r="M40" s="246">
        <f t="shared" si="15"/>
        <v>3388.261611936</v>
      </c>
      <c r="N40" s="246">
        <f t="shared" si="15"/>
        <v>3388.261611936</v>
      </c>
      <c r="O40" s="246">
        <f t="shared" si="15"/>
        <v>3379.36113601536</v>
      </c>
      <c r="P40" s="246">
        <f t="shared" si="15"/>
        <v>3370.46066009472</v>
      </c>
      <c r="Q40" s="246">
        <f t="shared" si="15"/>
        <v>3361.56018417408</v>
      </c>
      <c r="R40" s="246">
        <f t="shared" si="15"/>
        <v>3320.3931111709066</v>
      </c>
      <c r="S40" s="246">
        <f t="shared" si="15"/>
        <v>3279.7258236093767</v>
      </c>
      <c r="T40" s="246">
        <f t="shared" si="15"/>
        <v>3239.5524424879623</v>
      </c>
      <c r="U40" s="246">
        <f t="shared" si="15"/>
        <v>3199.8671564066149</v>
      </c>
      <c r="V40" s="246">
        <f t="shared" si="15"/>
        <v>3160.6642208026456</v>
      </c>
      <c r="W40" s="246">
        <f t="shared" si="15"/>
        <v>3121.9379571951204</v>
      </c>
      <c r="X40" s="246">
        <f t="shared" si="15"/>
        <v>3083.6827524376586</v>
      </c>
      <c r="Y40" s="246">
        <f t="shared" si="15"/>
        <v>3045.8930579796288</v>
      </c>
      <c r="Z40" s="246">
        <f t="shared" si="15"/>
        <v>3008.5633891355119</v>
      </c>
      <c r="AA40" s="246">
        <f t="shared" si="15"/>
        <v>2971.6883243624816</v>
      </c>
      <c r="AB40" s="246">
        <f t="shared" si="15"/>
        <v>2935.2625045460036</v>
      </c>
      <c r="AC40" s="246">
        <f t="shared" si="15"/>
        <v>2899.2806322934157</v>
      </c>
      <c r="AD40" s="246">
        <f t="shared" si="15"/>
        <v>2863.7374712354185</v>
      </c>
      <c r="AE40" s="246">
        <f t="shared" si="15"/>
        <v>2828.6278453353661</v>
      </c>
      <c r="AF40" s="246">
        <f t="shared" si="15"/>
        <v>2793.9466382061814</v>
      </c>
      <c r="AG40" s="246">
        <f t="shared" si="15"/>
        <v>1759.6887924350449</v>
      </c>
    </row>
    <row r="41" spans="2:33">
      <c r="B41" s="186" t="s">
        <v>480</v>
      </c>
      <c r="D41" s="245">
        <f>-D18*$D$12*'WACC &amp; Inputs'!$C$5/1000</f>
        <v>0</v>
      </c>
      <c r="E41" s="245">
        <f>-E18*$D$12*'WACC &amp; Inputs'!$C$5/1000</f>
        <v>0</v>
      </c>
      <c r="F41" s="245">
        <f>-F18*$D$12*'WACC &amp; Inputs'!$C$5/1000</f>
        <v>0</v>
      </c>
      <c r="G41" s="245">
        <f>-G18*$D$12*'WACC &amp; Inputs'!$C$5/1000</f>
        <v>0</v>
      </c>
      <c r="H41" s="245">
        <f>-H18*$D$12*'WACC &amp; Inputs'!$C$5/1000</f>
        <v>0</v>
      </c>
      <c r="I41" s="245">
        <f>-I18*$D$12*'WACC &amp; Inputs'!$C$5/1000</f>
        <v>-65.7</v>
      </c>
      <c r="J41" s="245">
        <f>-J18*$D$12*'WACC &amp; Inputs'!$C$5/1000</f>
        <v>-65.7</v>
      </c>
      <c r="K41" s="245">
        <f>-K18*$D$12*'WACC &amp; Inputs'!$C$5/1000</f>
        <v>-65.7</v>
      </c>
      <c r="L41" s="245">
        <f>-L18*$D$12*'WACC &amp; Inputs'!$C$5/1000</f>
        <v>-65.7</v>
      </c>
      <c r="M41" s="245">
        <f>-M18*$D$12*'WACC &amp; Inputs'!$C$5/1000</f>
        <v>-65.7</v>
      </c>
      <c r="N41" s="245">
        <f>-N18*$D$12*'WACC &amp; Inputs'!$C$5/1000</f>
        <v>-65.7</v>
      </c>
      <c r="O41" s="245">
        <f>-O18*$D$12*'WACC &amp; Inputs'!$C$5/1000</f>
        <v>-65.7</v>
      </c>
      <c r="P41" s="245">
        <f>-P18*$D$12*'WACC &amp; Inputs'!$C$5/1000</f>
        <v>-65.7</v>
      </c>
      <c r="Q41" s="245">
        <f>-Q18*$D$12*'WACC &amp; Inputs'!$C$5/1000</f>
        <v>-65.7</v>
      </c>
      <c r="R41" s="245">
        <f>-R18*$D$12*'WACC &amp; Inputs'!$C$5/1000</f>
        <v>-65.043000000000006</v>
      </c>
      <c r="S41" s="245">
        <f>-S18*$D$12*'WACC &amp; Inputs'!$C$5/1000</f>
        <v>-64.392570000000006</v>
      </c>
      <c r="T41" s="245">
        <f>-T18*$D$12*'WACC &amp; Inputs'!$C$5/1000</f>
        <v>-63.748644300000009</v>
      </c>
      <c r="U41" s="245">
        <f>-U18*$D$12*'WACC &amp; Inputs'!$C$5/1000</f>
        <v>-63.111157856999995</v>
      </c>
      <c r="V41" s="245">
        <f>-V18*$D$12*'WACC &amp; Inputs'!$C$5/1000</f>
        <v>-62.480046278430009</v>
      </c>
      <c r="W41" s="245">
        <f>-W18*$D$12*'WACC &amp; Inputs'!$C$5/1000</f>
        <v>-61.855245815645716</v>
      </c>
      <c r="X41" s="245">
        <f>-X18*$D$12*'WACC &amp; Inputs'!$C$5/1000</f>
        <v>-61.236693357489244</v>
      </c>
      <c r="Y41" s="245">
        <f>-Y18*$D$12*'WACC &amp; Inputs'!$C$5/1000</f>
        <v>-60.624326423914347</v>
      </c>
      <c r="Z41" s="245">
        <f>-Z18*$D$12*'WACC &amp; Inputs'!$C$5/1000</f>
        <v>-60.018083159675157</v>
      </c>
      <c r="AA41" s="245">
        <f>-AA18*$D$12*'WACC &amp; Inputs'!$C$5/1000</f>
        <v>-59.417902328078384</v>
      </c>
      <c r="AB41" s="245">
        <f>-AB18*$D$12*'WACC &amp; Inputs'!$C$5/1000</f>
        <v>-58.823723304797682</v>
      </c>
      <c r="AC41" s="245">
        <f>-AC18*$D$12*'WACC &amp; Inputs'!$C$5/1000</f>
        <v>-58.235486071749747</v>
      </c>
      <c r="AD41" s="245">
        <f>-AD18*$D$12*'WACC &amp; Inputs'!$C$5/1000</f>
        <v>-57.653131211032111</v>
      </c>
      <c r="AE41" s="245">
        <f>-AE18*$D$12*'WACC &amp; Inputs'!$C$5/1000</f>
        <v>-57.076599898921998</v>
      </c>
      <c r="AF41" s="245">
        <f>-AF18*$D$12*'WACC &amp; Inputs'!$C$5/1000</f>
        <v>-56.50583389993276</v>
      </c>
      <c r="AG41" s="245">
        <f>-AG18*$D$12*'WACC &amp; Inputs'!$C$5/1000</f>
        <v>-55.940775560933389</v>
      </c>
    </row>
    <row r="42" spans="2:33">
      <c r="B42" s="190" t="s">
        <v>277</v>
      </c>
      <c r="D42" s="246">
        <f t="shared" ref="D42:AG42" si="16">D40+D41</f>
        <v>-3000</v>
      </c>
      <c r="E42" s="246">
        <f t="shared" si="16"/>
        <v>-3000</v>
      </c>
      <c r="F42" s="246">
        <f t="shared" si="16"/>
        <v>-3000</v>
      </c>
      <c r="G42" s="246">
        <f t="shared" si="16"/>
        <v>-3000</v>
      </c>
      <c r="H42" s="246">
        <f t="shared" si="16"/>
        <v>-3000</v>
      </c>
      <c r="I42" s="246">
        <f t="shared" si="16"/>
        <v>3322.5616119360002</v>
      </c>
      <c r="J42" s="246">
        <f t="shared" si="16"/>
        <v>3322.5616119360002</v>
      </c>
      <c r="K42" s="246">
        <f t="shared" si="16"/>
        <v>3322.5616119360002</v>
      </c>
      <c r="L42" s="246">
        <f t="shared" si="16"/>
        <v>3322.5616119360002</v>
      </c>
      <c r="M42" s="246">
        <f t="shared" si="16"/>
        <v>3322.5616119360002</v>
      </c>
      <c r="N42" s="246">
        <f t="shared" si="16"/>
        <v>3322.5616119360002</v>
      </c>
      <c r="O42" s="246">
        <f t="shared" si="16"/>
        <v>3313.6611360153602</v>
      </c>
      <c r="P42" s="246">
        <f t="shared" si="16"/>
        <v>3304.7606600947202</v>
      </c>
      <c r="Q42" s="246">
        <f t="shared" si="16"/>
        <v>3295.8601841740801</v>
      </c>
      <c r="R42" s="246">
        <f t="shared" si="16"/>
        <v>3255.3501111709065</v>
      </c>
      <c r="S42" s="246">
        <f t="shared" si="16"/>
        <v>3215.3332536093767</v>
      </c>
      <c r="T42" s="246">
        <f t="shared" si="16"/>
        <v>3175.8037981879625</v>
      </c>
      <c r="U42" s="246">
        <f t="shared" si="16"/>
        <v>3136.755998549615</v>
      </c>
      <c r="V42" s="246">
        <f t="shared" si="16"/>
        <v>3098.1841745242155</v>
      </c>
      <c r="W42" s="246">
        <f t="shared" si="16"/>
        <v>3060.0827113794749</v>
      </c>
      <c r="X42" s="246">
        <f t="shared" si="16"/>
        <v>3022.4460590801691</v>
      </c>
      <c r="Y42" s="246">
        <f t="shared" si="16"/>
        <v>2985.2687315557146</v>
      </c>
      <c r="Z42" s="246">
        <f t="shared" si="16"/>
        <v>2948.5453059758365</v>
      </c>
      <c r="AA42" s="246">
        <f t="shared" si="16"/>
        <v>2912.2704220344031</v>
      </c>
      <c r="AB42" s="246">
        <f t="shared" si="16"/>
        <v>2876.438781241206</v>
      </c>
      <c r="AC42" s="246">
        <f t="shared" si="16"/>
        <v>2841.0451462216661</v>
      </c>
      <c r="AD42" s="246">
        <f t="shared" si="16"/>
        <v>2806.0843400243866</v>
      </c>
      <c r="AE42" s="246">
        <f t="shared" si="16"/>
        <v>2771.5512454364443</v>
      </c>
      <c r="AF42" s="246">
        <f t="shared" si="16"/>
        <v>2737.4408043062485</v>
      </c>
      <c r="AG42" s="246">
        <f t="shared" si="16"/>
        <v>1703.7480168741115</v>
      </c>
    </row>
    <row r="43" spans="2:33">
      <c r="B43" s="186" t="s">
        <v>481</v>
      </c>
      <c r="D43" s="247">
        <f t="shared" ref="D43:AG43" si="17">1/(1+$D$14)^(D$16-2026)</f>
        <v>0.90401511493871445</v>
      </c>
      <c r="E43" s="247">
        <f t="shared" si="17"/>
        <v>0.81724332803765698</v>
      </c>
      <c r="F43" s="247">
        <f t="shared" si="17"/>
        <v>0.73880032112886007</v>
      </c>
      <c r="G43" s="247">
        <f t="shared" si="17"/>
        <v>0.66788665722206553</v>
      </c>
      <c r="H43" s="247">
        <f t="shared" si="17"/>
        <v>0.60377963319463934</v>
      </c>
      <c r="I43" s="247">
        <f t="shared" si="17"/>
        <v>0.54582591450010665</v>
      </c>
      <c r="J43" s="247">
        <f t="shared" si="17"/>
        <v>0.49343487683334286</v>
      </c>
      <c r="K43" s="247">
        <f t="shared" si="17"/>
        <v>0.4460725868952648</v>
      </c>
      <c r="L43" s="247">
        <f t="shared" si="17"/>
        <v>0.40325636091313249</v>
      </c>
      <c r="M43" s="247">
        <f t="shared" si="17"/>
        <v>0.36454984546065317</v>
      </c>
      <c r="N43" s="247">
        <f t="shared" si="17"/>
        <v>0.32955857044500297</v>
      </c>
      <c r="O43" s="247">
        <f t="shared" si="17"/>
        <v>0.29792592893987779</v>
      </c>
      <c r="P43" s="247">
        <f t="shared" si="17"/>
        <v>0.26932954289380689</v>
      </c>
      <c r="Q43" s="247">
        <f t="shared" si="17"/>
        <v>0.24347797767553619</v>
      </c>
      <c r="R43" s="247">
        <f t="shared" si="17"/>
        <v>0.22010777197339562</v>
      </c>
      <c r="S43" s="247">
        <f t="shared" si="17"/>
        <v>0.19898075277943358</v>
      </c>
      <c r="T43" s="247">
        <f t="shared" si="17"/>
        <v>0.17988160809449158</v>
      </c>
      <c r="U43" s="247">
        <f t="shared" si="17"/>
        <v>0.16261569261690256</v>
      </c>
      <c r="V43" s="247">
        <f t="shared" si="17"/>
        <v>0.14700704405190784</v>
      </c>
      <c r="W43" s="247">
        <f t="shared" si="17"/>
        <v>0.1328965898253861</v>
      </c>
      <c r="X43" s="247">
        <f t="shared" si="17"/>
        <v>0.12014052592595961</v>
      </c>
      <c r="Y43" s="247">
        <f t="shared" si="17"/>
        <v>0.10860885135375398</v>
      </c>
      <c r="Z43" s="247">
        <f t="shared" si="17"/>
        <v>9.8184043239925647E-2</v>
      </c>
      <c r="AA43" s="247">
        <f t="shared" si="17"/>
        <v>8.875985913468909E-2</v>
      </c>
      <c r="AB43" s="247">
        <f t="shared" si="17"/>
        <v>8.0240254257590057E-2</v>
      </c>
      <c r="AC43" s="247">
        <f t="shared" si="17"/>
        <v>7.2538402675386943E-2</v>
      </c>
      <c r="AD43" s="247">
        <f t="shared" si="17"/>
        <v>6.5575812432060676E-2</v>
      </c>
      <c r="AE43" s="247">
        <f t="shared" si="17"/>
        <v>5.928152561296892E-2</v>
      </c>
      <c r="AF43" s="247">
        <f t="shared" si="17"/>
        <v>5.3591395190750436E-2</v>
      </c>
      <c r="AG43" s="247">
        <f t="shared" si="17"/>
        <v>4.8447431283092313E-2</v>
      </c>
    </row>
    <row r="44" spans="2:33">
      <c r="B44" s="186" t="s">
        <v>482</v>
      </c>
      <c r="D44" s="245">
        <f t="shared" ref="D44:AG44" si="18">D42*D43</f>
        <v>-2712.0453448161434</v>
      </c>
      <c r="E44" s="245">
        <f t="shared" si="18"/>
        <v>-2451.7299841129711</v>
      </c>
      <c r="F44" s="245">
        <f t="shared" si="18"/>
        <v>-2216.4009633865803</v>
      </c>
      <c r="G44" s="245">
        <f t="shared" si="18"/>
        <v>-2003.6599716661965</v>
      </c>
      <c r="H44" s="245">
        <f t="shared" si="18"/>
        <v>-1811.338899583918</v>
      </c>
      <c r="I44" s="245">
        <f t="shared" si="18"/>
        <v>1813.5402303179158</v>
      </c>
      <c r="J44" s="245">
        <f t="shared" si="18"/>
        <v>1639.4677797568334</v>
      </c>
      <c r="K44" s="245">
        <f t="shared" si="18"/>
        <v>1482.1036533551926</v>
      </c>
      <c r="L44" s="245">
        <f t="shared" si="18"/>
        <v>1339.8441045389829</v>
      </c>
      <c r="M44" s="245">
        <f t="shared" si="18"/>
        <v>1211.2393221647676</v>
      </c>
      <c r="N44" s="245">
        <f t="shared" si="18"/>
        <v>1094.9786550450729</v>
      </c>
      <c r="O44" s="245">
        <f t="shared" si="18"/>
        <v>987.22557213934692</v>
      </c>
      <c r="P44" s="245">
        <f t="shared" si="18"/>
        <v>890.06967795674655</v>
      </c>
      <c r="Q44" s="245">
        <f t="shared" si="18"/>
        <v>802.46937234402526</v>
      </c>
      <c r="R44" s="245">
        <f t="shared" si="18"/>
        <v>716.52785996317402</v>
      </c>
      <c r="S44" s="245">
        <f t="shared" si="18"/>
        <v>639.78943123993918</v>
      </c>
      <c r="T44" s="245">
        <f t="shared" si="18"/>
        <v>571.26869421064487</v>
      </c>
      <c r="U44" s="245">
        <f t="shared" si="18"/>
        <v>510.08574927436945</v>
      </c>
      <c r="V44" s="245">
        <f t="shared" si="18"/>
        <v>455.4548974252051</v>
      </c>
      <c r="W44" s="245">
        <f t="shared" si="18"/>
        <v>406.67455692595342</v>
      </c>
      <c r="X44" s="245">
        <f t="shared" si="18"/>
        <v>363.1182591207355</v>
      </c>
      <c r="Y44" s="245">
        <f t="shared" si="18"/>
        <v>324.22660791654431</v>
      </c>
      <c r="Z44" s="245">
        <f t="shared" si="18"/>
        <v>289.50009981681131</v>
      </c>
      <c r="AA44" s="245">
        <f t="shared" si="18"/>
        <v>258.49271242189513</v>
      </c>
      <c r="AB44" s="245">
        <f t="shared" si="18"/>
        <v>230.80617916318684</v>
      </c>
      <c r="AC44" s="245">
        <f t="shared" si="18"/>
        <v>206.08487683558079</v>
      </c>
      <c r="AD44" s="245">
        <f t="shared" si="18"/>
        <v>184.01126034998194</v>
      </c>
      <c r="AE44" s="245">
        <f t="shared" si="18"/>
        <v>164.30178614399648</v>
      </c>
      <c r="AF44" s="245">
        <f t="shared" si="18"/>
        <v>146.70327195486189</v>
      </c>
      <c r="AG44" s="245">
        <f t="shared" si="18"/>
        <v>82.542214971213312</v>
      </c>
    </row>
    <row r="46" spans="2:33">
      <c r="B46" s="185" t="s">
        <v>483</v>
      </c>
      <c r="C46" s="185"/>
      <c r="D46" s="185"/>
    </row>
    <row r="47" spans="2:33">
      <c r="B47" s="190" t="s">
        <v>334</v>
      </c>
      <c r="D47" s="248">
        <f>SUM(D44:AG44)</f>
        <v>5615.3516617871674</v>
      </c>
    </row>
    <row r="48" spans="2:33">
      <c r="B48" s="190" t="s">
        <v>282</v>
      </c>
      <c r="D48" s="249">
        <f>IRR(D42:AG42,0.1)</f>
        <v>0.15492590993666888</v>
      </c>
    </row>
    <row r="49" spans="2:33">
      <c r="B49" s="186" t="s">
        <v>284</v>
      </c>
      <c r="D49" s="236">
        <f>D14</f>
        <v>0.10617619492766191</v>
      </c>
    </row>
    <row r="50" spans="2:33">
      <c r="B50" s="186" t="s">
        <v>337</v>
      </c>
      <c r="D50" s="250">
        <f>D48-D49</f>
        <v>4.8749715009006975E-2</v>
      </c>
    </row>
    <row r="51" spans="2:33">
      <c r="B51" s="186" t="s">
        <v>338</v>
      </c>
      <c r="D51" s="245">
        <f>SUMPRODUCT(D40:AG40,D43:AG43)</f>
        <v>5951.519983076696</v>
      </c>
    </row>
    <row r="53" spans="2:33">
      <c r="B53" s="185" t="s">
        <v>484</v>
      </c>
      <c r="C53" s="185"/>
      <c r="D53" s="185"/>
      <c r="E53" s="185"/>
      <c r="F53" s="185"/>
      <c r="G53" s="185"/>
      <c r="H53" s="185"/>
      <c r="I53" s="185"/>
      <c r="J53" s="185"/>
      <c r="K53" s="185"/>
      <c r="L53" s="185"/>
      <c r="M53" s="185"/>
      <c r="N53" s="185"/>
      <c r="O53" s="185"/>
      <c r="P53" s="185"/>
      <c r="Q53" s="185"/>
      <c r="R53" s="185"/>
      <c r="S53" s="185"/>
      <c r="T53" s="185"/>
      <c r="U53" s="185"/>
      <c r="V53" s="185"/>
      <c r="W53" s="185"/>
      <c r="X53" s="185"/>
      <c r="Y53" s="185"/>
      <c r="Z53" s="185"/>
      <c r="AA53" s="185"/>
      <c r="AB53" s="185"/>
      <c r="AC53" s="185"/>
      <c r="AD53" s="185"/>
      <c r="AE53" s="185"/>
      <c r="AF53" s="185"/>
      <c r="AG53" s="185"/>
    </row>
    <row r="54" spans="2:33">
      <c r="B54" s="186" t="s">
        <v>485</v>
      </c>
      <c r="D54" s="229">
        <f>'Exhibit 2'!$E$76*(1+'Exhibit 12'!$D$5)^(D$16-2026)</f>
        <v>15810.5</v>
      </c>
      <c r="E54" s="229">
        <f>'Exhibit 2'!$E$76*(1+'Exhibit 12'!$D$5)^(E$16-2026)</f>
        <v>16284.814999999999</v>
      </c>
      <c r="F54" s="229">
        <f>'Exhibit 2'!$E$76*(1+'Exhibit 12'!$D$5)^(F$16-2026)</f>
        <v>16773.35945</v>
      </c>
      <c r="G54" s="229">
        <f>'Exhibit 2'!$E$76*(1+'Exhibit 12'!$D$5)^(G$16-2026)</f>
        <v>17276.5602335</v>
      </c>
      <c r="H54" s="229">
        <f>'Exhibit 2'!$E$76*(1+'Exhibit 12'!$D$5)^(H$16-2026)</f>
        <v>17794.857040504998</v>
      </c>
      <c r="I54" s="229">
        <f>'Exhibit 2'!$E$76*(1+'Exhibit 12'!$D$5)^(I$16-2026)</f>
        <v>18328.70275172015</v>
      </c>
      <c r="J54" s="229">
        <f>'Exhibit 2'!$E$76*(1+'Exhibit 12'!$D$5)^(J$16-2026)</f>
        <v>18878.563834271754</v>
      </c>
      <c r="K54" s="229">
        <f>'Exhibit 2'!$E$76*(1+'Exhibit 12'!$D$5)^(K$16-2026)</f>
        <v>19444.920749299905</v>
      </c>
      <c r="L54" s="229">
        <f>'Exhibit 2'!$E$76*(1+'Exhibit 12'!$D$5)^(L$16-2026)</f>
        <v>20028.268371778904</v>
      </c>
      <c r="M54" s="229">
        <f>'Exhibit 2'!$E$76*(1+'Exhibit 12'!$D$5)^(M$16-2026)</f>
        <v>20629.116422932268</v>
      </c>
      <c r="N54" s="229">
        <f>'Exhibit 2'!$E$76*(1+'Exhibit 12'!$D$5)^(N$16-2026)</f>
        <v>21247.989915620237</v>
      </c>
      <c r="O54" s="229">
        <f>'Exhibit 2'!$E$76*(1+'Exhibit 12'!$D$5)^(O$16-2026)</f>
        <v>21885.429613088843</v>
      </c>
      <c r="P54" s="229">
        <f>'Exhibit 2'!$E$76*(1+'Exhibit 12'!$D$5)^(P$16-2026)</f>
        <v>22541.992501481505</v>
      </c>
      <c r="Q54" s="229">
        <f>'Exhibit 2'!$E$76*(1+'Exhibit 12'!$D$5)^(Q$16-2026)</f>
        <v>23218.252276525953</v>
      </c>
      <c r="R54" s="229">
        <f>'Exhibit 2'!$E$76*(1+'Exhibit 12'!$D$5)^(R$16-2026)</f>
        <v>23914.799844821733</v>
      </c>
      <c r="S54" s="229">
        <f>'Exhibit 2'!$E$76*(1+'Exhibit 12'!$D$5)^(S$16-2026)</f>
        <v>24632.243840166382</v>
      </c>
      <c r="T54" s="229">
        <f>'Exhibit 2'!$E$76*(1+'Exhibit 12'!$D$5)^(T$16-2026)</f>
        <v>25371.211155371373</v>
      </c>
      <c r="U54" s="229">
        <f>'Exhibit 2'!$E$76*(1+'Exhibit 12'!$D$5)^(U$16-2026)</f>
        <v>26132.347490032516</v>
      </c>
      <c r="V54" s="229">
        <f>'Exhibit 2'!$E$76*(1+'Exhibit 12'!$D$5)^(V$16-2026)</f>
        <v>26916.317914733489</v>
      </c>
      <c r="W54" s="229">
        <f>'Exhibit 2'!$E$76*(1+'Exhibit 12'!$D$5)^(W$16-2026)</f>
        <v>27723.807452175493</v>
      </c>
      <c r="X54" s="229">
        <f>'Exhibit 2'!$E$76*(1+'Exhibit 12'!$D$5)^(X$16-2026)</f>
        <v>28555.521675740754</v>
      </c>
      <c r="Y54" s="229">
        <f>'Exhibit 2'!$E$76*(1+'Exhibit 12'!$D$5)^(Y$16-2026)</f>
        <v>29412.18732601298</v>
      </c>
      <c r="Z54" s="229">
        <f>'Exhibit 2'!$E$76*(1+'Exhibit 12'!$D$5)^(Z$16-2026)</f>
        <v>30294.55294579337</v>
      </c>
      <c r="AA54" s="229">
        <f>'Exhibit 2'!$E$76*(1+'Exhibit 12'!$D$5)^(AA$16-2026)</f>
        <v>31203.389534167167</v>
      </c>
      <c r="AB54" s="229">
        <f>'Exhibit 2'!$E$76*(1+'Exhibit 12'!$D$5)^(AB$16-2026)</f>
        <v>32139.491220192183</v>
      </c>
      <c r="AC54" s="229">
        <f>'Exhibit 2'!$E$76*(1+'Exhibit 12'!$D$5)^(AC$16-2026)</f>
        <v>33103.675956797953</v>
      </c>
      <c r="AD54" s="229">
        <f>'Exhibit 2'!$E$76*(1+'Exhibit 12'!$D$5)^(AD$16-2026)</f>
        <v>34096.786235501888</v>
      </c>
      <c r="AE54" s="229">
        <f>'Exhibit 2'!$E$76*(1+'Exhibit 12'!$D$5)^(AE$16-2026)</f>
        <v>35119.689822566943</v>
      </c>
      <c r="AF54" s="229">
        <f>'Exhibit 2'!$E$76*(1+'Exhibit 12'!$D$5)^(AF$16-2026)</f>
        <v>36173.280517243948</v>
      </c>
      <c r="AG54" s="229">
        <f>'Exhibit 2'!$E$76*(1+'Exhibit 12'!$D$5)^(AG$16-2026)</f>
        <v>37258.478932761267</v>
      </c>
    </row>
    <row r="55" spans="2:33">
      <c r="B55" s="186" t="s">
        <v>303</v>
      </c>
      <c r="D55" s="245">
        <f t="shared" ref="D55:AG55" si="19">D34</f>
        <v>0</v>
      </c>
      <c r="E55" s="245">
        <f t="shared" si="19"/>
        <v>0</v>
      </c>
      <c r="F55" s="245">
        <f t="shared" si="19"/>
        <v>0</v>
      </c>
      <c r="G55" s="245">
        <f t="shared" si="19"/>
        <v>0</v>
      </c>
      <c r="H55" s="245">
        <f t="shared" si="19"/>
        <v>0</v>
      </c>
      <c r="I55" s="245">
        <f t="shared" si="19"/>
        <v>4129.4450784000001</v>
      </c>
      <c r="J55" s="245">
        <f t="shared" si="19"/>
        <v>4129.4450784000001</v>
      </c>
      <c r="K55" s="245">
        <f t="shared" si="19"/>
        <v>4129.4450784000001</v>
      </c>
      <c r="L55" s="245">
        <f t="shared" si="19"/>
        <v>4129.4450784000001</v>
      </c>
      <c r="M55" s="245">
        <f t="shared" si="19"/>
        <v>4129.4450784000001</v>
      </c>
      <c r="N55" s="245">
        <f t="shared" si="19"/>
        <v>4129.4450784000001</v>
      </c>
      <c r="O55" s="245">
        <f t="shared" si="19"/>
        <v>4118.1786531839998</v>
      </c>
      <c r="P55" s="245">
        <f t="shared" si="19"/>
        <v>4106.9122279679996</v>
      </c>
      <c r="Q55" s="245">
        <f t="shared" si="19"/>
        <v>4095.6458027520002</v>
      </c>
      <c r="R55" s="245">
        <f t="shared" si="19"/>
        <v>4043.5355837606412</v>
      </c>
      <c r="S55" s="245">
        <f t="shared" si="19"/>
        <v>3992.0580045688312</v>
      </c>
      <c r="T55" s="245">
        <f t="shared" si="19"/>
        <v>3941.205623402484</v>
      </c>
      <c r="U55" s="245">
        <f t="shared" si="19"/>
        <v>3890.971084059006</v>
      </c>
      <c r="V55" s="245">
        <f t="shared" si="19"/>
        <v>3841.3471149400575</v>
      </c>
      <c r="W55" s="245">
        <f t="shared" si="19"/>
        <v>3792.3265280950891</v>
      </c>
      <c r="X55" s="245">
        <f t="shared" si="19"/>
        <v>3743.9022182755175</v>
      </c>
      <c r="Y55" s="245">
        <f t="shared" si="19"/>
        <v>3696.0671619995301</v>
      </c>
      <c r="Z55" s="245">
        <f t="shared" si="19"/>
        <v>3648.8144166272305</v>
      </c>
      <c r="AA55" s="245">
        <f t="shared" si="19"/>
        <v>3602.137119446179</v>
      </c>
      <c r="AB55" s="245">
        <f t="shared" si="19"/>
        <v>3556.0284867670935</v>
      </c>
      <c r="AC55" s="245">
        <f t="shared" si="19"/>
        <v>3510.4818130296399</v>
      </c>
      <c r="AD55" s="245">
        <f t="shared" si="19"/>
        <v>3465.4904699182512</v>
      </c>
      <c r="AE55" s="245">
        <f t="shared" si="19"/>
        <v>3421.0479054878051</v>
      </c>
      <c r="AF55" s="245">
        <f t="shared" si="19"/>
        <v>3377.1476432989639</v>
      </c>
      <c r="AG55" s="245">
        <f t="shared" si="19"/>
        <v>3333.7832815633483</v>
      </c>
    </row>
    <row r="56" spans="2:33">
      <c r="B56" s="190" t="s">
        <v>226</v>
      </c>
      <c r="D56" s="246">
        <f t="shared" ref="D56:AG56" si="20">D54+D55</f>
        <v>15810.5</v>
      </c>
      <c r="E56" s="246">
        <f>E54+E55</f>
        <v>16284.814999999999</v>
      </c>
      <c r="F56" s="246">
        <f t="shared" si="20"/>
        <v>16773.35945</v>
      </c>
      <c r="G56" s="246">
        <f t="shared" si="20"/>
        <v>17276.5602335</v>
      </c>
      <c r="H56" s="246">
        <f t="shared" si="20"/>
        <v>17794.857040504998</v>
      </c>
      <c r="I56" s="246">
        <f t="shared" si="20"/>
        <v>22458.14783012015</v>
      </c>
      <c r="J56" s="246">
        <f t="shared" si="20"/>
        <v>23008.008912671754</v>
      </c>
      <c r="K56" s="246">
        <f t="shared" si="20"/>
        <v>23574.365827699905</v>
      </c>
      <c r="L56" s="246">
        <f t="shared" si="20"/>
        <v>24157.713450178904</v>
      </c>
      <c r="M56" s="246">
        <f t="shared" si="20"/>
        <v>24758.561501332268</v>
      </c>
      <c r="N56" s="246">
        <f t="shared" si="20"/>
        <v>25377.434994020237</v>
      </c>
      <c r="O56" s="246">
        <f t="shared" si="20"/>
        <v>26003.608266272844</v>
      </c>
      <c r="P56" s="246">
        <f t="shared" si="20"/>
        <v>26648.904729449503</v>
      </c>
      <c r="Q56" s="246">
        <f t="shared" si="20"/>
        <v>27313.898079277955</v>
      </c>
      <c r="R56" s="246">
        <f t="shared" si="20"/>
        <v>27958.335428582373</v>
      </c>
      <c r="S56" s="246">
        <f t="shared" si="20"/>
        <v>28624.301844735215</v>
      </c>
      <c r="T56" s="246">
        <f t="shared" si="20"/>
        <v>29312.416778773855</v>
      </c>
      <c r="U56" s="246">
        <f t="shared" si="20"/>
        <v>30023.318574091521</v>
      </c>
      <c r="V56" s="246">
        <f t="shared" si="20"/>
        <v>30757.665029673546</v>
      </c>
      <c r="W56" s="246">
        <f t="shared" si="20"/>
        <v>31516.133980270584</v>
      </c>
      <c r="X56" s="246">
        <f t="shared" si="20"/>
        <v>32299.423894016272</v>
      </c>
      <c r="Y56" s="246">
        <f t="shared" si="20"/>
        <v>33108.254488012506</v>
      </c>
      <c r="Z56" s="246">
        <f t="shared" si="20"/>
        <v>33943.367362420599</v>
      </c>
      <c r="AA56" s="246">
        <f t="shared" si="20"/>
        <v>34805.526653613342</v>
      </c>
      <c r="AB56" s="246">
        <f t="shared" si="20"/>
        <v>35695.519706959276</v>
      </c>
      <c r="AC56" s="246">
        <f t="shared" si="20"/>
        <v>36614.157769827594</v>
      </c>
      <c r="AD56" s="246">
        <f t="shared" si="20"/>
        <v>37562.276705420139</v>
      </c>
      <c r="AE56" s="246">
        <f t="shared" si="20"/>
        <v>38540.737728054752</v>
      </c>
      <c r="AF56" s="246">
        <f t="shared" si="20"/>
        <v>39550.428160542913</v>
      </c>
      <c r="AG56" s="246">
        <f t="shared" si="20"/>
        <v>40592.262214324612</v>
      </c>
    </row>
    <row r="57" spans="2:33">
      <c r="B57" s="186" t="s">
        <v>305</v>
      </c>
      <c r="D57" s="229">
        <f>'Exhibit 2'!$E$73</f>
        <v>24318</v>
      </c>
      <c r="E57" s="245">
        <f t="shared" ref="E57:AG57" si="21">D61</f>
        <v>26870.9</v>
      </c>
      <c r="F57" s="245">
        <f t="shared" si="21"/>
        <v>29433.445</v>
      </c>
      <c r="G57" s="245">
        <f t="shared" si="21"/>
        <v>32007.077250000002</v>
      </c>
      <c r="H57" s="245">
        <f t="shared" si="21"/>
        <v>34593.3399125</v>
      </c>
      <c r="I57" s="245">
        <f t="shared" si="21"/>
        <v>37193.882972125</v>
      </c>
      <c r="J57" s="245">
        <f t="shared" si="21"/>
        <v>33422.207854715249</v>
      </c>
      <c r="K57" s="245">
        <f t="shared" si="21"/>
        <v>29668.458832409411</v>
      </c>
      <c r="L57" s="245">
        <f t="shared" si="21"/>
        <v>25934.64511307401</v>
      </c>
      <c r="M57" s="245">
        <f t="shared" si="21"/>
        <v>22222.909752062238</v>
      </c>
      <c r="N57" s="245">
        <f t="shared" si="21"/>
        <v>18535.537346201079</v>
      </c>
      <c r="O57" s="245">
        <f t="shared" si="21"/>
        <v>14874.962142526201</v>
      </c>
      <c r="P57" s="245">
        <f t="shared" si="21"/>
        <v>11252.677059324029</v>
      </c>
      <c r="Q57" s="245">
        <f t="shared" si="21"/>
        <v>7671.4417385463375</v>
      </c>
      <c r="R57" s="245">
        <f t="shared" si="21"/>
        <v>4134.1925090342129</v>
      </c>
      <c r="S57" s="245">
        <f t="shared" si="21"/>
        <v>676.31897908881047</v>
      </c>
      <c r="T57" s="245">
        <f t="shared" si="21"/>
        <v>-2699.3584130384234</v>
      </c>
      <c r="U57" s="245">
        <f t="shared" si="21"/>
        <v>-5989.8050451389099</v>
      </c>
      <c r="V57" s="245">
        <f t="shared" si="21"/>
        <v>-9191.7604945875155</v>
      </c>
      <c r="W57" s="245">
        <f t="shared" si="21"/>
        <v>-12301.726298851556</v>
      </c>
      <c r="X57" s="245">
        <f t="shared" si="21"/>
        <v>-15315.953060721462</v>
      </c>
      <c r="Y57" s="245">
        <f t="shared" si="21"/>
        <v>-18230.426864369176</v>
      </c>
      <c r="Z57" s="245">
        <f t="shared" si="21"/>
        <v>-21040.854966609946</v>
      </c>
      <c r="AA57" s="245">
        <f t="shared" si="21"/>
        <v>-23742.650725924948</v>
      </c>
      <c r="AB57" s="245">
        <f t="shared" si="21"/>
        <v>-26330.917729892353</v>
      </c>
      <c r="AC57" s="245">
        <f t="shared" si="21"/>
        <v>-28800.433079667473</v>
      </c>
      <c r="AD57" s="245">
        <f t="shared" si="21"/>
        <v>-31145.629788044727</v>
      </c>
      <c r="AE57" s="245">
        <f t="shared" si="21"/>
        <v>-33360.578245419245</v>
      </c>
      <c r="AF57" s="245">
        <f t="shared" si="21"/>
        <v>-35438.966705639265</v>
      </c>
      <c r="AG57" s="245">
        <f t="shared" si="21"/>
        <v>-37374.080741296078</v>
      </c>
    </row>
    <row r="58" spans="2:33">
      <c r="B58" s="186" t="s">
        <v>486</v>
      </c>
      <c r="D58" s="229">
        <f>'Exhibit 12'!$D$8*(1+'Exhibit 12'!$D$6)^(D$16-2027)</f>
        <v>1600</v>
      </c>
      <c r="E58" s="229">
        <f>'Exhibit 12'!$D$8*(1+'Exhibit 12'!$D$6)^(E$16-2027)</f>
        <v>1648</v>
      </c>
      <c r="F58" s="229">
        <f>'Exhibit 12'!$D$8*(1+'Exhibit 12'!$D$6)^(F$16-2027)</f>
        <v>1697.4399999999998</v>
      </c>
      <c r="G58" s="229">
        <f>'Exhibit 12'!$D$8*(1+'Exhibit 12'!$D$6)^(G$16-2027)</f>
        <v>1748.3632</v>
      </c>
      <c r="H58" s="229">
        <f>'Exhibit 12'!$D$8*(1+'Exhibit 12'!$D$6)^(H$16-2027)</f>
        <v>1800.8140959999998</v>
      </c>
      <c r="I58" s="229">
        <f>'Exhibit 12'!$D$8*(1+'Exhibit 12'!$D$6)^(I$16-2027)</f>
        <v>1854.8385188799998</v>
      </c>
      <c r="J58" s="229">
        <f>'Exhibit 12'!$D$8*(1+'Exhibit 12'!$D$6)^(J$16-2027)</f>
        <v>1910.4836744463998</v>
      </c>
      <c r="K58" s="229">
        <f>'Exhibit 12'!$D$8*(1+'Exhibit 12'!$D$6)^(K$16-2027)</f>
        <v>1967.798184679792</v>
      </c>
      <c r="L58" s="229">
        <f>'Exhibit 12'!$D$8*(1+'Exhibit 12'!$D$6)^(L$16-2027)</f>
        <v>2026.8321302201855</v>
      </c>
      <c r="M58" s="229">
        <f>'Exhibit 12'!$D$8*(1+'Exhibit 12'!$D$6)^(M$16-2027)</f>
        <v>2087.637094126791</v>
      </c>
      <c r="N58" s="229">
        <f>'Exhibit 12'!$D$8*(1+'Exhibit 12'!$D$6)^(N$16-2027)</f>
        <v>2150.266206950595</v>
      </c>
      <c r="O58" s="229">
        <f>'Exhibit 12'!$D$8*(1+'Exhibit 12'!$D$6)^(O$16-2027)</f>
        <v>2214.7741931591127</v>
      </c>
      <c r="P58" s="229">
        <f>'Exhibit 12'!$D$8*(1+'Exhibit 12'!$D$6)^(P$16-2027)</f>
        <v>2281.217418953886</v>
      </c>
      <c r="Q58" s="229">
        <f>'Exhibit 12'!$D$8*(1+'Exhibit 12'!$D$6)^(Q$16-2027)</f>
        <v>2349.6539415225025</v>
      </c>
      <c r="R58" s="229">
        <f>'Exhibit 12'!$D$8*(1+'Exhibit 12'!$D$6)^(R$16-2027)</f>
        <v>2420.1435597681775</v>
      </c>
      <c r="S58" s="229">
        <f>'Exhibit 12'!$D$8*(1+'Exhibit 12'!$D$6)^(S$16-2027)</f>
        <v>2492.747866561223</v>
      </c>
      <c r="T58" s="229">
        <f>'Exhibit 12'!$D$8*(1+'Exhibit 12'!$D$6)^(T$16-2027)</f>
        <v>2567.5303025580592</v>
      </c>
      <c r="U58" s="229">
        <f>'Exhibit 12'!$D$8*(1+'Exhibit 12'!$D$6)^(U$16-2027)</f>
        <v>2644.556211634801</v>
      </c>
      <c r="V58" s="229">
        <f>'Exhibit 12'!$D$8*(1+'Exhibit 12'!$D$6)^(V$16-2027)</f>
        <v>2723.8928979838452</v>
      </c>
      <c r="W58" s="229">
        <f>'Exhibit 12'!$D$8*(1+'Exhibit 12'!$D$6)^(W$16-2027)</f>
        <v>2805.6096849233604</v>
      </c>
      <c r="X58" s="229">
        <f>'Exhibit 12'!$D$8*(1+'Exhibit 12'!$D$6)^(X$16-2027)</f>
        <v>2889.7779754710614</v>
      </c>
      <c r="Y58" s="229">
        <f>'Exhibit 12'!$D$8*(1+'Exhibit 12'!$D$6)^(Y$16-2027)</f>
        <v>2976.4713147351927</v>
      </c>
      <c r="Z58" s="229">
        <f>'Exhibit 12'!$D$8*(1+'Exhibit 12'!$D$6)^(Z$16-2027)</f>
        <v>3065.7654541772486</v>
      </c>
      <c r="AA58" s="229">
        <f>'Exhibit 12'!$D$8*(1+'Exhibit 12'!$D$6)^(AA$16-2027)</f>
        <v>3157.7384178025663</v>
      </c>
      <c r="AB58" s="229">
        <f>'Exhibit 12'!$D$8*(1+'Exhibit 12'!$D$6)^(AB$16-2027)</f>
        <v>3252.470570336643</v>
      </c>
      <c r="AC58" s="229">
        <f>'Exhibit 12'!$D$8*(1+'Exhibit 12'!$D$6)^(AC$16-2027)</f>
        <v>3350.044687446742</v>
      </c>
      <c r="AD58" s="229">
        <f>'Exhibit 12'!$D$8*(1+'Exhibit 12'!$D$6)^(AD$16-2027)</f>
        <v>3450.546028070145</v>
      </c>
      <c r="AE58" s="229">
        <f>'Exhibit 12'!$D$8*(1+'Exhibit 12'!$D$6)^(AE$16-2027)</f>
        <v>3554.0624089122489</v>
      </c>
      <c r="AF58" s="229">
        <f>'Exhibit 12'!$D$8*(1+'Exhibit 12'!$D$6)^(AF$16-2027)</f>
        <v>3660.6842811796164</v>
      </c>
      <c r="AG58" s="229">
        <f>'Exhibit 12'!$D$8*(1+'Exhibit 12'!$D$6)^(AG$16-2027)</f>
        <v>3770.5048096150044</v>
      </c>
    </row>
    <row r="59" spans="2:33">
      <c r="B59" s="186" t="s">
        <v>487</v>
      </c>
      <c r="D59" s="229">
        <f>-'Exhibit 2'!$E$64*(1+'Exhibit 12'!$D$7)^(D$16-2026)</f>
        <v>1152.9000000000001</v>
      </c>
      <c r="E59" s="229">
        <f>-'Exhibit 2'!$E$64*(1+'Exhibit 12'!$D$7)^(E$16-2026)</f>
        <v>1210.5450000000001</v>
      </c>
      <c r="F59" s="229">
        <f>-'Exhibit 2'!$E$64*(1+'Exhibit 12'!$D$7)^(F$16-2026)</f>
        <v>1271.0722500000002</v>
      </c>
      <c r="G59" s="229">
        <f>-'Exhibit 2'!$E$64*(1+'Exhibit 12'!$D$7)^(G$16-2026)</f>
        <v>1334.6258625</v>
      </c>
      <c r="H59" s="229">
        <f>-'Exhibit 2'!$E$64*(1+'Exhibit 12'!$D$7)^(H$16-2026)</f>
        <v>1401.3571556250001</v>
      </c>
      <c r="I59" s="229">
        <f>-'Exhibit 2'!$E$64*(1+'Exhibit 12'!$D$7)^(I$16-2026)</f>
        <v>1471.4250134062499</v>
      </c>
      <c r="J59" s="229">
        <f>-'Exhibit 2'!$E$64*(1+'Exhibit 12'!$D$7)^(J$16-2026)</f>
        <v>1544.9962640765627</v>
      </c>
      <c r="K59" s="229">
        <f>-'Exhibit 2'!$E$64*(1+'Exhibit 12'!$D$7)^(K$16-2026)</f>
        <v>1622.2460772803906</v>
      </c>
      <c r="L59" s="229">
        <f>-'Exhibit 2'!$E$64*(1+'Exhibit 12'!$D$7)^(L$16-2026)</f>
        <v>1703.3583811444103</v>
      </c>
      <c r="M59" s="229">
        <f>-'Exhibit 2'!$E$64*(1+'Exhibit 12'!$D$7)^(M$16-2026)</f>
        <v>1788.5263002016309</v>
      </c>
      <c r="N59" s="229">
        <f>-'Exhibit 2'!$E$64*(1+'Exhibit 12'!$D$7)^(N$16-2026)</f>
        <v>1877.9526152117126</v>
      </c>
      <c r="O59" s="229">
        <f>-'Exhibit 2'!$E$64*(1+'Exhibit 12'!$D$7)^(O$16-2026)</f>
        <v>1971.8502459722979</v>
      </c>
      <c r="P59" s="229">
        <f>-'Exhibit 2'!$E$64*(1+'Exhibit 12'!$D$7)^(P$16-2026)</f>
        <v>2070.4427582709131</v>
      </c>
      <c r="Q59" s="229">
        <f>-'Exhibit 2'!$E$64*(1+'Exhibit 12'!$D$7)^(Q$16-2026)</f>
        <v>2173.9648961844582</v>
      </c>
      <c r="R59" s="229">
        <f>-'Exhibit 2'!$E$64*(1+'Exhibit 12'!$D$7)^(R$16-2026)</f>
        <v>2282.6631409936817</v>
      </c>
      <c r="S59" s="229">
        <f>-'Exhibit 2'!$E$64*(1+'Exhibit 12'!$D$7)^(S$16-2026)</f>
        <v>2396.7962980433658</v>
      </c>
      <c r="T59" s="229">
        <f>-'Exhibit 2'!$E$64*(1+'Exhibit 12'!$D$7)^(T$16-2026)</f>
        <v>2516.6361129455345</v>
      </c>
      <c r="U59" s="229">
        <f>-'Exhibit 2'!$E$64*(1+'Exhibit 12'!$D$7)^(U$16-2026)</f>
        <v>2642.4679185928112</v>
      </c>
      <c r="V59" s="229">
        <f>-'Exhibit 2'!$E$64*(1+'Exhibit 12'!$D$7)^(V$16-2026)</f>
        <v>2774.5913145224517</v>
      </c>
      <c r="W59" s="229">
        <f>-'Exhibit 2'!$E$64*(1+'Exhibit 12'!$D$7)^(W$16-2026)</f>
        <v>2913.3208802485742</v>
      </c>
      <c r="X59" s="229">
        <f>-'Exhibit 2'!$E$64*(1+'Exhibit 12'!$D$7)^(X$16-2026)</f>
        <v>3058.986924261003</v>
      </c>
      <c r="Y59" s="229">
        <f>-'Exhibit 2'!$E$64*(1+'Exhibit 12'!$D$7)^(Y$16-2026)</f>
        <v>3211.9362704740529</v>
      </c>
      <c r="Z59" s="229">
        <f>-'Exhibit 2'!$E$64*(1+'Exhibit 12'!$D$7)^(Z$16-2026)</f>
        <v>3372.533083997756</v>
      </c>
      <c r="AA59" s="229">
        <f>-'Exhibit 2'!$E$64*(1+'Exhibit 12'!$D$7)^(AA$16-2026)</f>
        <v>3541.1597381976435</v>
      </c>
      <c r="AB59" s="229">
        <f>-'Exhibit 2'!$E$64*(1+'Exhibit 12'!$D$7)^(AB$16-2026)</f>
        <v>3718.2177251075254</v>
      </c>
      <c r="AC59" s="229">
        <f>-'Exhibit 2'!$E$64*(1+'Exhibit 12'!$D$7)^(AC$16-2026)</f>
        <v>3904.1286113629021</v>
      </c>
      <c r="AD59" s="229">
        <f>-'Exhibit 2'!$E$64*(1+'Exhibit 12'!$D$7)^(AD$16-2026)</f>
        <v>4099.3350419310473</v>
      </c>
      <c r="AE59" s="229">
        <f>-'Exhibit 2'!$E$64*(1+'Exhibit 12'!$D$7)^(AE$16-2026)</f>
        <v>4304.3017940275995</v>
      </c>
      <c r="AF59" s="229">
        <f>-'Exhibit 2'!$E$64*(1+'Exhibit 12'!$D$7)^(AF$16-2026)</f>
        <v>4519.5168837289802</v>
      </c>
      <c r="AG59" s="229">
        <f>-'Exhibit 2'!$E$64*(1+'Exhibit 12'!$D$7)^(AG$16-2026)</f>
        <v>4745.4927279154272</v>
      </c>
    </row>
    <row r="60" spans="2:33">
      <c r="B60" s="186" t="s">
        <v>311</v>
      </c>
      <c r="D60" s="245">
        <f t="shared" ref="D60:AG60" si="22">D40</f>
        <v>-3000</v>
      </c>
      <c r="E60" s="245">
        <f t="shared" si="22"/>
        <v>-3000</v>
      </c>
      <c r="F60" s="245">
        <f t="shared" si="22"/>
        <v>-3000</v>
      </c>
      <c r="G60" s="245">
        <f t="shared" si="22"/>
        <v>-3000</v>
      </c>
      <c r="H60" s="245">
        <f t="shared" si="22"/>
        <v>-3000</v>
      </c>
      <c r="I60" s="245">
        <f t="shared" si="22"/>
        <v>3388.261611936</v>
      </c>
      <c r="J60" s="245">
        <f t="shared" si="22"/>
        <v>3388.261611936</v>
      </c>
      <c r="K60" s="245">
        <f t="shared" si="22"/>
        <v>3388.261611936</v>
      </c>
      <c r="L60" s="245">
        <f t="shared" si="22"/>
        <v>3388.261611936</v>
      </c>
      <c r="M60" s="245">
        <f t="shared" si="22"/>
        <v>3388.261611936</v>
      </c>
      <c r="N60" s="245">
        <f t="shared" si="22"/>
        <v>3388.261611936</v>
      </c>
      <c r="O60" s="245">
        <f t="shared" si="22"/>
        <v>3379.36113601536</v>
      </c>
      <c r="P60" s="245">
        <f t="shared" si="22"/>
        <v>3370.46066009472</v>
      </c>
      <c r="Q60" s="245">
        <f t="shared" si="22"/>
        <v>3361.56018417408</v>
      </c>
      <c r="R60" s="245">
        <f t="shared" si="22"/>
        <v>3320.3931111709066</v>
      </c>
      <c r="S60" s="245">
        <f t="shared" si="22"/>
        <v>3279.7258236093767</v>
      </c>
      <c r="T60" s="245">
        <f t="shared" si="22"/>
        <v>3239.5524424879623</v>
      </c>
      <c r="U60" s="245">
        <f t="shared" si="22"/>
        <v>3199.8671564066149</v>
      </c>
      <c r="V60" s="245">
        <f t="shared" si="22"/>
        <v>3160.6642208026456</v>
      </c>
      <c r="W60" s="245">
        <f t="shared" si="22"/>
        <v>3121.9379571951204</v>
      </c>
      <c r="X60" s="245">
        <f t="shared" si="22"/>
        <v>3083.6827524376586</v>
      </c>
      <c r="Y60" s="245">
        <f t="shared" si="22"/>
        <v>3045.8930579796288</v>
      </c>
      <c r="Z60" s="245">
        <f t="shared" si="22"/>
        <v>3008.5633891355119</v>
      </c>
      <c r="AA60" s="245">
        <f t="shared" si="22"/>
        <v>2971.6883243624816</v>
      </c>
      <c r="AB60" s="245">
        <f t="shared" si="22"/>
        <v>2935.2625045460036</v>
      </c>
      <c r="AC60" s="245">
        <f t="shared" si="22"/>
        <v>2899.2806322934157</v>
      </c>
      <c r="AD60" s="245">
        <f t="shared" si="22"/>
        <v>2863.7374712354185</v>
      </c>
      <c r="AE60" s="245">
        <f t="shared" si="22"/>
        <v>2828.6278453353661</v>
      </c>
      <c r="AF60" s="245">
        <f t="shared" si="22"/>
        <v>2793.9466382061814</v>
      </c>
      <c r="AG60" s="245">
        <f t="shared" si="22"/>
        <v>1759.6887924350449</v>
      </c>
    </row>
    <row r="61" spans="2:33">
      <c r="B61" s="190" t="s">
        <v>313</v>
      </c>
      <c r="D61" s="246">
        <f>D57-D58+D59-D60</f>
        <v>26870.9</v>
      </c>
      <c r="E61" s="246">
        <f t="shared" ref="D61:AG61" si="23">E57-E58+E59-E60</f>
        <v>29433.445</v>
      </c>
      <c r="F61" s="246">
        <f t="shared" si="23"/>
        <v>32007.077250000002</v>
      </c>
      <c r="G61" s="246">
        <f t="shared" si="23"/>
        <v>34593.3399125</v>
      </c>
      <c r="H61" s="246">
        <f t="shared" si="23"/>
        <v>37193.882972125</v>
      </c>
      <c r="I61" s="246">
        <f t="shared" si="23"/>
        <v>33422.207854715249</v>
      </c>
      <c r="J61" s="246">
        <f t="shared" si="23"/>
        <v>29668.458832409411</v>
      </c>
      <c r="K61" s="246">
        <f t="shared" si="23"/>
        <v>25934.64511307401</v>
      </c>
      <c r="L61" s="246">
        <f t="shared" si="23"/>
        <v>22222.909752062238</v>
      </c>
      <c r="M61" s="246">
        <f t="shared" si="23"/>
        <v>18535.537346201079</v>
      </c>
      <c r="N61" s="246">
        <f t="shared" si="23"/>
        <v>14874.962142526201</v>
      </c>
      <c r="O61" s="246">
        <f t="shared" si="23"/>
        <v>11252.677059324029</v>
      </c>
      <c r="P61" s="246">
        <f t="shared" si="23"/>
        <v>7671.4417385463375</v>
      </c>
      <c r="Q61" s="246">
        <f t="shared" si="23"/>
        <v>4134.1925090342129</v>
      </c>
      <c r="R61" s="246">
        <f t="shared" si="23"/>
        <v>676.31897908881047</v>
      </c>
      <c r="S61" s="246">
        <f>S57-S58+S59-S60</f>
        <v>-2699.3584130384234</v>
      </c>
      <c r="T61" s="246">
        <f t="shared" si="23"/>
        <v>-5989.8050451389099</v>
      </c>
      <c r="U61" s="246">
        <f t="shared" si="23"/>
        <v>-9191.7604945875155</v>
      </c>
      <c r="V61" s="246">
        <f t="shared" si="23"/>
        <v>-12301.726298851556</v>
      </c>
      <c r="W61" s="246">
        <f t="shared" si="23"/>
        <v>-15315.953060721462</v>
      </c>
      <c r="X61" s="246">
        <f t="shared" si="23"/>
        <v>-18230.426864369176</v>
      </c>
      <c r="Y61" s="246">
        <f t="shared" si="23"/>
        <v>-21040.854966609946</v>
      </c>
      <c r="Z61" s="246">
        <f t="shared" si="23"/>
        <v>-23742.650725924948</v>
      </c>
      <c r="AA61" s="246">
        <f t="shared" si="23"/>
        <v>-26330.917729892353</v>
      </c>
      <c r="AB61" s="246">
        <f t="shared" si="23"/>
        <v>-28800.433079667473</v>
      </c>
      <c r="AC61" s="246">
        <f t="shared" si="23"/>
        <v>-31145.629788044727</v>
      </c>
      <c r="AD61" s="246">
        <f t="shared" si="23"/>
        <v>-33360.578245419245</v>
      </c>
      <c r="AE61" s="246">
        <f t="shared" si="23"/>
        <v>-35438.966705639265</v>
      </c>
      <c r="AF61" s="246">
        <f t="shared" si="23"/>
        <v>-37374.080741296078</v>
      </c>
      <c r="AG61" s="246">
        <f t="shared" si="23"/>
        <v>-38158.7816154307</v>
      </c>
    </row>
    <row r="62" spans="2:33">
      <c r="B62" s="190" t="s">
        <v>315</v>
      </c>
      <c r="D62" s="251">
        <f>D61/D56</f>
        <v>1.6995604187090858</v>
      </c>
      <c r="E62" s="251">
        <f t="shared" ref="D62:AG62" si="24">E61/E56</f>
        <v>1.8074166025220428</v>
      </c>
      <c r="F62" s="251">
        <f t="shared" si="24"/>
        <v>1.908209106554382</v>
      </c>
      <c r="G62" s="251">
        <f t="shared" si="24"/>
        <v>2.0023279776157068</v>
      </c>
      <c r="H62" s="251">
        <f t="shared" si="24"/>
        <v>2.0901478942743719</v>
      </c>
      <c r="I62" s="251">
        <f t="shared" si="24"/>
        <v>1.4881996550886736</v>
      </c>
      <c r="J62" s="251">
        <f t="shared" si="24"/>
        <v>1.2894839768629169</v>
      </c>
      <c r="K62" s="251">
        <f t="shared" si="24"/>
        <v>1.10012058447828</v>
      </c>
      <c r="L62" s="251">
        <f t="shared" si="24"/>
        <v>0.91990948555181506</v>
      </c>
      <c r="M62" s="251">
        <f t="shared" si="24"/>
        <v>0.74865162684042341</v>
      </c>
      <c r="N62" s="251">
        <f t="shared" si="24"/>
        <v>0.58614915755005315</v>
      </c>
      <c r="O62" s="251">
        <f t="shared" si="24"/>
        <v>0.43273521674755255</v>
      </c>
      <c r="P62" s="251">
        <f t="shared" si="24"/>
        <v>0.2878708080662199</v>
      </c>
      <c r="Q62" s="251">
        <f t="shared" si="24"/>
        <v>0.1513585683389026</v>
      </c>
      <c r="R62" s="251">
        <f t="shared" si="24"/>
        <v>2.4190244831149562E-2</v>
      </c>
      <c r="S62" s="251">
        <f t="shared" si="24"/>
        <v>-9.4303030609457758E-2</v>
      </c>
      <c r="T62" s="251">
        <f t="shared" si="24"/>
        <v>-0.20434360941116042</v>
      </c>
      <c r="U62" s="251">
        <f t="shared" si="24"/>
        <v>-0.30615404729174411</v>
      </c>
      <c r="V62" s="251">
        <f t="shared" si="24"/>
        <v>-0.39995644295441252</v>
      </c>
      <c r="W62" s="251">
        <f t="shared" si="24"/>
        <v>-0.48597182225172042</v>
      </c>
      <c r="X62" s="251">
        <f t="shared" si="24"/>
        <v>-0.56441956748790523</v>
      </c>
      <c r="Y62" s="251">
        <f t="shared" si="24"/>
        <v>-0.63551689124016497</v>
      </c>
      <c r="Z62" s="251">
        <f t="shared" si="24"/>
        <v>-0.69947835382446255</v>
      </c>
      <c r="AA62" s="251">
        <f t="shared" si="24"/>
        <v>-0.75651542331018873</v>
      </c>
      <c r="AB62" s="251">
        <f t="shared" si="24"/>
        <v>-0.80683607679908576</v>
      </c>
      <c r="AC62" s="251">
        <f t="shared" si="24"/>
        <v>-0.85064444152558705</v>
      </c>
      <c r="AD62" s="251">
        <f t="shared" si="24"/>
        <v>-0.88814047420627729</v>
      </c>
      <c r="AE62" s="251">
        <f t="shared" si="24"/>
        <v>-0.91951967696358772</v>
      </c>
      <c r="AF62" s="251">
        <f t="shared" si="24"/>
        <v>-0.94497284807100912</v>
      </c>
      <c r="AG62" s="251">
        <f t="shared" si="24"/>
        <v>-0.9400506287123076</v>
      </c>
    </row>
    <row r="63" spans="2:33">
      <c r="B63" s="186" t="s">
        <v>233</v>
      </c>
      <c r="D63" s="223">
        <f>'WACC &amp; Inputs'!$C$9</f>
        <v>1.75</v>
      </c>
      <c r="E63" s="223">
        <f>'WACC &amp; Inputs'!$C$9</f>
        <v>1.75</v>
      </c>
      <c r="F63" s="223">
        <f>'WACC &amp; Inputs'!$C$9</f>
        <v>1.75</v>
      </c>
      <c r="G63" s="223">
        <f>'WACC &amp; Inputs'!$C$9</f>
        <v>1.75</v>
      </c>
      <c r="H63" s="223">
        <f>'WACC &amp; Inputs'!$C$9</f>
        <v>1.75</v>
      </c>
      <c r="I63" s="223">
        <f>'WACC &amp; Inputs'!$C$9</f>
        <v>1.75</v>
      </c>
      <c r="J63" s="223">
        <f>'WACC &amp; Inputs'!$C$9</f>
        <v>1.75</v>
      </c>
      <c r="K63" s="223">
        <f>'WACC &amp; Inputs'!$C$9</f>
        <v>1.75</v>
      </c>
      <c r="L63" s="223">
        <f>'WACC &amp; Inputs'!$C$9</f>
        <v>1.75</v>
      </c>
      <c r="M63" s="223">
        <f>'WACC &amp; Inputs'!$C$9</f>
        <v>1.75</v>
      </c>
      <c r="N63" s="223">
        <f>'WACC &amp; Inputs'!$C$9</f>
        <v>1.75</v>
      </c>
      <c r="O63" s="223">
        <f>'WACC &amp; Inputs'!$C$9</f>
        <v>1.75</v>
      </c>
      <c r="P63" s="223">
        <f>'WACC &amp; Inputs'!$C$9</f>
        <v>1.75</v>
      </c>
      <c r="Q63" s="223">
        <f>'WACC &amp; Inputs'!$C$9</f>
        <v>1.75</v>
      </c>
      <c r="R63" s="223">
        <f>'WACC &amp; Inputs'!$C$9</f>
        <v>1.75</v>
      </c>
      <c r="S63" s="223">
        <f>'WACC &amp; Inputs'!$C$9</f>
        <v>1.75</v>
      </c>
      <c r="T63" s="223">
        <f>'WACC &amp; Inputs'!$C$9</f>
        <v>1.75</v>
      </c>
      <c r="U63" s="223">
        <f>'WACC &amp; Inputs'!$C$9</f>
        <v>1.75</v>
      </c>
      <c r="V63" s="223">
        <f>'WACC &amp; Inputs'!$C$9</f>
        <v>1.75</v>
      </c>
      <c r="W63" s="223">
        <f>'WACC &amp; Inputs'!$C$9</f>
        <v>1.75</v>
      </c>
      <c r="X63" s="223">
        <f>'WACC &amp; Inputs'!$C$9</f>
        <v>1.75</v>
      </c>
      <c r="Y63" s="223">
        <f>'WACC &amp; Inputs'!$C$9</f>
        <v>1.75</v>
      </c>
      <c r="Z63" s="223">
        <f>'WACC &amp; Inputs'!$C$9</f>
        <v>1.75</v>
      </c>
      <c r="AA63" s="223">
        <f>'WACC &amp; Inputs'!$C$9</f>
        <v>1.75</v>
      </c>
      <c r="AB63" s="223">
        <f>'WACC &amp; Inputs'!$C$9</f>
        <v>1.75</v>
      </c>
      <c r="AC63" s="223">
        <f>'WACC &amp; Inputs'!$C$9</f>
        <v>1.75</v>
      </c>
      <c r="AD63" s="223">
        <f>'WACC &amp; Inputs'!$C$9</f>
        <v>1.75</v>
      </c>
      <c r="AE63" s="223">
        <f>'WACC &amp; Inputs'!$C$9</f>
        <v>1.75</v>
      </c>
      <c r="AF63" s="223">
        <f>'WACC &amp; Inputs'!$C$9</f>
        <v>1.75</v>
      </c>
      <c r="AG63" s="223">
        <f>'WACC &amp; Inputs'!$C$9</f>
        <v>1.75</v>
      </c>
    </row>
    <row r="64" spans="2:33">
      <c r="B64" s="186" t="s">
        <v>488</v>
      </c>
      <c r="D64" s="245">
        <f t="shared" ref="D64:AG64" si="25">D63*D56-D61</f>
        <v>797.47499999999854</v>
      </c>
      <c r="E64" s="245">
        <f t="shared" si="25"/>
        <v>-935.01875000000291</v>
      </c>
      <c r="F64" s="245">
        <f t="shared" si="25"/>
        <v>-2653.6982125000031</v>
      </c>
      <c r="G64" s="245">
        <f t="shared" si="25"/>
        <v>-4359.3595038749991</v>
      </c>
      <c r="H64" s="245">
        <f t="shared" si="25"/>
        <v>-6052.8831512412544</v>
      </c>
      <c r="I64" s="245">
        <f t="shared" si="25"/>
        <v>5879.5508479950149</v>
      </c>
      <c r="J64" s="245">
        <f t="shared" si="25"/>
        <v>10595.556764766156</v>
      </c>
      <c r="K64" s="245">
        <f t="shared" si="25"/>
        <v>15320.495085400828</v>
      </c>
      <c r="L64" s="245">
        <f t="shared" si="25"/>
        <v>20053.088785750842</v>
      </c>
      <c r="M64" s="245">
        <f t="shared" si="25"/>
        <v>24791.945281130389</v>
      </c>
      <c r="N64" s="245">
        <f t="shared" si="25"/>
        <v>29535.549097009214</v>
      </c>
      <c r="O64" s="245">
        <f t="shared" si="25"/>
        <v>34253.637406653448</v>
      </c>
      <c r="P64" s="245">
        <f t="shared" si="25"/>
        <v>38964.14153799029</v>
      </c>
      <c r="Q64" s="245">
        <f t="shared" si="25"/>
        <v>43665.129129702211</v>
      </c>
      <c r="R64" s="245">
        <f t="shared" si="25"/>
        <v>48250.768020930336</v>
      </c>
      <c r="S64" s="245">
        <f t="shared" si="25"/>
        <v>52791.886641325051</v>
      </c>
      <c r="T64" s="245">
        <f t="shared" si="25"/>
        <v>57286.534407993153</v>
      </c>
      <c r="U64" s="245">
        <f t="shared" si="25"/>
        <v>61732.567999247673</v>
      </c>
      <c r="V64" s="245">
        <f t="shared" si="25"/>
        <v>66127.640100780263</v>
      </c>
      <c r="W64" s="245">
        <f t="shared" si="25"/>
        <v>70469.18752619499</v>
      </c>
      <c r="X64" s="245">
        <f t="shared" si="25"/>
        <v>74754.418678897651</v>
      </c>
      <c r="Y64" s="245">
        <f t="shared" si="25"/>
        <v>78980.300320631824</v>
      </c>
      <c r="Z64" s="245">
        <f t="shared" si="25"/>
        <v>83143.543610160996</v>
      </c>
      <c r="AA64" s="245">
        <f t="shared" si="25"/>
        <v>87240.589373715702</v>
      </c>
      <c r="AB64" s="245">
        <f t="shared" si="25"/>
        <v>91267.5925668462</v>
      </c>
      <c r="AC64" s="245">
        <f t="shared" si="25"/>
        <v>95220.405885243017</v>
      </c>
      <c r="AD64" s="245">
        <f t="shared" si="25"/>
        <v>99094.562479904504</v>
      </c>
      <c r="AE64" s="245">
        <f t="shared" si="25"/>
        <v>102885.25772973508</v>
      </c>
      <c r="AF64" s="245">
        <f t="shared" si="25"/>
        <v>106587.33002224617</v>
      </c>
      <c r="AG64" s="245">
        <f t="shared" si="25"/>
        <v>109195.24049049878</v>
      </c>
    </row>
    <row r="65" spans="2:33">
      <c r="B65" s="190" t="s">
        <v>320</v>
      </c>
      <c r="D65" s="193" t="str">
        <f t="shared" ref="D65:AG65" si="26">IF(D62&lt;=D63,"PASS","BREACH")</f>
        <v>PASS</v>
      </c>
      <c r="E65" s="193" t="str">
        <f t="shared" si="26"/>
        <v>BREACH</v>
      </c>
      <c r="F65" s="193" t="str">
        <f t="shared" si="26"/>
        <v>BREACH</v>
      </c>
      <c r="G65" s="193" t="str">
        <f t="shared" si="26"/>
        <v>BREACH</v>
      </c>
      <c r="H65" s="193" t="str">
        <f t="shared" si="26"/>
        <v>BREACH</v>
      </c>
      <c r="I65" s="193" t="str">
        <f t="shared" si="26"/>
        <v>PASS</v>
      </c>
      <c r="J65" s="193" t="str">
        <f t="shared" si="26"/>
        <v>PASS</v>
      </c>
      <c r="K65" s="193" t="str">
        <f t="shared" si="26"/>
        <v>PASS</v>
      </c>
      <c r="L65" s="193" t="str">
        <f t="shared" si="26"/>
        <v>PASS</v>
      </c>
      <c r="M65" s="193" t="str">
        <f t="shared" si="26"/>
        <v>PASS</v>
      </c>
      <c r="N65" s="193" t="str">
        <f t="shared" si="26"/>
        <v>PASS</v>
      </c>
      <c r="O65" s="193" t="str">
        <f t="shared" si="26"/>
        <v>PASS</v>
      </c>
      <c r="P65" s="193" t="str">
        <f t="shared" si="26"/>
        <v>PASS</v>
      </c>
      <c r="Q65" s="193" t="str">
        <f t="shared" si="26"/>
        <v>PASS</v>
      </c>
      <c r="R65" s="193" t="str">
        <f t="shared" si="26"/>
        <v>PASS</v>
      </c>
      <c r="S65" s="193" t="str">
        <f t="shared" si="26"/>
        <v>PASS</v>
      </c>
      <c r="T65" s="193" t="str">
        <f t="shared" si="26"/>
        <v>PASS</v>
      </c>
      <c r="U65" s="193" t="str">
        <f t="shared" si="26"/>
        <v>PASS</v>
      </c>
      <c r="V65" s="193" t="str">
        <f t="shared" si="26"/>
        <v>PASS</v>
      </c>
      <c r="W65" s="193" t="str">
        <f t="shared" si="26"/>
        <v>PASS</v>
      </c>
      <c r="X65" s="193" t="str">
        <f t="shared" si="26"/>
        <v>PASS</v>
      </c>
      <c r="Y65" s="193" t="str">
        <f t="shared" si="26"/>
        <v>PASS</v>
      </c>
      <c r="Z65" s="193" t="str">
        <f t="shared" si="26"/>
        <v>PASS</v>
      </c>
      <c r="AA65" s="193" t="str">
        <f t="shared" si="26"/>
        <v>PASS</v>
      </c>
      <c r="AB65" s="193" t="str">
        <f t="shared" si="26"/>
        <v>PASS</v>
      </c>
      <c r="AC65" s="193" t="str">
        <f t="shared" si="26"/>
        <v>PASS</v>
      </c>
      <c r="AD65" s="193" t="str">
        <f t="shared" si="26"/>
        <v>PASS</v>
      </c>
      <c r="AE65" s="193" t="str">
        <f t="shared" si="26"/>
        <v>PASS</v>
      </c>
      <c r="AF65" s="193" t="str">
        <f t="shared" si="26"/>
        <v>PASS</v>
      </c>
      <c r="AG65" s="193" t="str">
        <f t="shared" si="26"/>
        <v>PASS</v>
      </c>
    </row>
    <row r="66" spans="2:33">
      <c r="B66" s="186" t="s">
        <v>489</v>
      </c>
      <c r="D66" s="252">
        <f t="shared" ref="D66:AG66" si="27">(D58+D40)/D59</f>
        <v>-1.2143290831815421</v>
      </c>
      <c r="E66" s="252">
        <f t="shared" si="27"/>
        <v>-1.1168523268445203</v>
      </c>
      <c r="F66" s="252">
        <f t="shared" si="27"/>
        <v>-1.0247725886549721</v>
      </c>
      <c r="G66" s="252">
        <f t="shared" si="27"/>
        <v>-0.93781848169452808</v>
      </c>
      <c r="H66" s="252">
        <f t="shared" si="27"/>
        <v>-0.85573181625148775</v>
      </c>
      <c r="I66" s="252">
        <f t="shared" si="27"/>
        <v>3.5632805498382654</v>
      </c>
      <c r="J66" s="252">
        <f t="shared" si="27"/>
        <v>3.4296168926657153</v>
      </c>
      <c r="K66" s="252">
        <f t="shared" si="27"/>
        <v>3.3016321454726163</v>
      </c>
      <c r="L66" s="252">
        <f t="shared" si="27"/>
        <v>3.1790689511375914</v>
      </c>
      <c r="M66" s="252">
        <f t="shared" si="27"/>
        <v>3.0616819587419331</v>
      </c>
      <c r="N66" s="252">
        <f t="shared" si="27"/>
        <v>2.9492372565865854</v>
      </c>
      <c r="O66" s="252">
        <f t="shared" si="27"/>
        <v>2.8369980634183838</v>
      </c>
      <c r="P66" s="252">
        <f t="shared" si="27"/>
        <v>2.7296954028173599</v>
      </c>
      <c r="Q66" s="252">
        <f t="shared" si="27"/>
        <v>2.6270958356873084</v>
      </c>
      <c r="R66" s="252">
        <f t="shared" si="27"/>
        <v>2.5148417950272468</v>
      </c>
      <c r="S66" s="252">
        <f t="shared" si="27"/>
        <v>2.4084123022398614</v>
      </c>
      <c r="T66" s="252">
        <f t="shared" si="27"/>
        <v>2.3074781114259961</v>
      </c>
      <c r="U66" s="252">
        <f t="shared" si="27"/>
        <v>2.2117291668591901</v>
      </c>
      <c r="V66" s="252">
        <f t="shared" si="27"/>
        <v>2.1208734735044432</v>
      </c>
      <c r="W66" s="252">
        <f t="shared" si="27"/>
        <v>2.0346360341922662</v>
      </c>
      <c r="X66" s="252">
        <f t="shared" si="27"/>
        <v>1.9527578495131364</v>
      </c>
      <c r="Y66" s="252">
        <f t="shared" si="27"/>
        <v>1.874994976729714</v>
      </c>
      <c r="Z66" s="252">
        <f t="shared" si="27"/>
        <v>1.8011176442225827</v>
      </c>
      <c r="AA66" s="252">
        <f t="shared" si="27"/>
        <v>1.7309094181909916</v>
      </c>
      <c r="AB66" s="252">
        <f t="shared" si="27"/>
        <v>1.6641664185234624</v>
      </c>
      <c r="AC66" s="252">
        <f t="shared" si="27"/>
        <v>1.6006965809352691</v>
      </c>
      <c r="AD66" s="252">
        <f t="shared" si="27"/>
        <v>1.5403189626411056</v>
      </c>
      <c r="AE66" s="252">
        <f t="shared" si="27"/>
        <v>1.4828630889924741</v>
      </c>
      <c r="AF66" s="252">
        <f t="shared" si="27"/>
        <v>1.4281683386610531</v>
      </c>
      <c r="AG66" s="252">
        <f t="shared" si="27"/>
        <v>1.1653570912707563</v>
      </c>
    </row>
    <row r="68" spans="2:33">
      <c r="B68" s="184" t="s">
        <v>490</v>
      </c>
    </row>
  </sheetData>
  <conditionalFormatting sqref="D62:AG62">
    <cfRule type="expression" dxfId="3" priority="2">
      <formula>D62&gt;D63</formula>
    </cfRule>
  </conditionalFormatting>
  <conditionalFormatting sqref="D64:AG64">
    <cfRule type="cellIs" dxfId="2" priority="5" operator="lessThan">
      <formula>0</formula>
    </cfRule>
  </conditionalFormatting>
  <conditionalFormatting sqref="D65:AG65">
    <cfRule type="cellIs" dxfId="1" priority="3" operator="equal">
      <formula>"BREACH"</formula>
    </cfRule>
    <cfRule type="cellIs" dxfId="0" priority="4" operator="equal">
      <formula>"PASS"</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NorthStar Energy</dc:title>
  <dc:subject/>
  <dc:creator>Sandoval Lopez, Marco</dc:creator>
  <cp:keywords/>
  <dc:description/>
  <cp:lastModifiedBy/>
  <cp:revision>1</cp:revision>
  <dcterms:created xsi:type="dcterms:W3CDTF">2024-07-23T15:02:07Z</dcterms:created>
  <dcterms:modified xsi:type="dcterms:W3CDTF">2026-10-24T01:34:09Z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vron Discipline">
    <vt:lpwstr/>
  </property>
  <property fmtid="{D5CDD505-2E9C-101B-9397-08002B2CF9AE}" pid="3" name="Chevron Organization">
    <vt:lpwstr>14;#Finance|86745135-ce4f-4e17-a884-919bde617c0e</vt:lpwstr>
  </property>
  <property fmtid="{D5CDD505-2E9C-101B-9397-08002B2CF9AE}" pid="4" name="Chevron_x0020_Discipline">
    <vt:lpwstr/>
  </property>
  <property fmtid="{D5CDD505-2E9C-101B-9397-08002B2CF9AE}" pid="5" name="Chevron_x0020_Organization">
    <vt:lpwstr>14;#Finance|86745135-ce4f-4e17-a884-919bde617c0e</vt:lpwstr>
  </property>
  <property fmtid="{D5CDD505-2E9C-101B-9397-08002B2CF9AE}" pid="6" name="ContentTypeId">
    <vt:lpwstr>0x010100FBB1BDE89FB27C449A0E29AF421E3124010069CECDFDC142AD4092E8F20B45C24529</vt:lpwstr>
  </property>
  <property fmtid="{D5CDD505-2E9C-101B-9397-08002B2CF9AE}" pid="7" name="MSIP_Label_6e4db608-ddec-4a44-8ad7-7d5a79b7448e_ActionId">
    <vt:lpwstr>af4c5ae1-a1af-4ef3-a831-9bd0ddf4de0d</vt:lpwstr>
  </property>
  <property fmtid="{D5CDD505-2E9C-101B-9397-08002B2CF9AE}" pid="8" name="MSIP_Label_6e4db608-ddec-4a44-8ad7-7d5a79b7448e_ContentBits">
    <vt:lpwstr>0</vt:lpwstr>
  </property>
  <property fmtid="{D5CDD505-2E9C-101B-9397-08002B2CF9AE}" pid="9" name="MSIP_Label_6e4db608-ddec-4a44-8ad7-7d5a79b7448e_Enabled">
    <vt:lpwstr>true</vt:lpwstr>
  </property>
  <property fmtid="{D5CDD505-2E9C-101B-9397-08002B2CF9AE}" pid="10" name="MSIP_Label_6e4db608-ddec-4a44-8ad7-7d5a79b7448e_Method">
    <vt:lpwstr>Standard</vt:lpwstr>
  </property>
  <property fmtid="{D5CDD505-2E9C-101B-9397-08002B2CF9AE}" pid="11" name="MSIP_Label_6e4db608-ddec-4a44-8ad7-7d5a79b7448e_Name">
    <vt:lpwstr>Internal</vt:lpwstr>
  </property>
  <property fmtid="{D5CDD505-2E9C-101B-9397-08002B2CF9AE}" pid="12" name="MSIP_Label_6e4db608-ddec-4a44-8ad7-7d5a79b7448e_SetDate">
    <vt:lpwstr>2024-07-23T15:19:21Z</vt:lpwstr>
  </property>
  <property fmtid="{D5CDD505-2E9C-101B-9397-08002B2CF9AE}" pid="13" name="MSIP_Label_6e4db608-ddec-4a44-8ad7-7d5a79b7448e_SiteId">
    <vt:lpwstr>fd799da1-bfc1-4234-a91c-72b3a1cb9e26</vt:lpwstr>
  </property>
  <property fmtid="{D5CDD505-2E9C-101B-9397-08002B2CF9AE}" pid="14" name="Retention Category">
    <vt:lpwstr>1;#Non-Record|1e0fcd32-c316-4759-967f-319c5b88aa7f</vt:lpwstr>
  </property>
  <property fmtid="{D5CDD505-2E9C-101B-9397-08002B2CF9AE}" pid="15" name="Retention_x0020_Category">
    <vt:lpwstr>1;#Non-Record|1e0fcd32-c316-4759-967f-319c5b88aa7f</vt:lpwstr>
  </property>
</Properties>
</file>